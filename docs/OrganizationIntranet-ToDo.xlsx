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یست کارها" state="visible" r:id="rId4"/>
    <sheet sheetId="2" name="خلاصه پیشرفت" state="visible" r:id="rId5"/>
    <sheet sheetId="3" name="وضعیت فعلی" state="visible" r:id="rId6"/>
    <sheet sheetId="4" name="تصمیمات لازم" state="visible" r:id="rId7"/>
  </sheets>
  <calcPr calcId="171027" fullCalcOnLoad="1"/>
</workbook>
</file>

<file path=xl/sharedStrings.xml><?xml version="1.0" encoding="utf-8"?>
<sst xmlns="http://schemas.openxmlformats.org/spreadsheetml/2006/main" count="799" uniqueCount="322">
  <si>
    <t>فاز</t>
  </si>
  <si>
    <t>شناسه</t>
  </si>
  <si>
    <t>کار</t>
  </si>
  <si>
    <t>نوع</t>
  </si>
  <si>
    <t>اولویت</t>
  </si>
  <si>
    <t>وضعیت</t>
  </si>
  <si>
    <t>وابسته به</t>
  </si>
  <si>
    <t>مسئول</t>
  </si>
  <si>
    <t>تاریخ هدف</t>
  </si>
  <si>
    <t>توضیحات</t>
  </si>
  <si>
    <t>فاز ۰ — پایه و تصمیم‌ها</t>
  </si>
  <si>
    <t>P0-01</t>
  </si>
  <si>
    <t>Commit و push تغییرات فعلی (پس از تأیید) و هم‌ترازکردن شاخه‌ها؛ ms سه commit جلوتر از origin/ms است</t>
  </si>
  <si>
    <t>عملیات</t>
  </si>
  <si>
    <t>بالا</t>
  </si>
  <si>
    <t>انجام شد</t>
  </si>
  <si>
    <t/>
  </si>
  <si>
    <t>کاربر commit و push را خودش انجام داد (آخرین: «portal toasts»). merge به master هنوز انجام نشده است (کار جدید P0-13).</t>
  </si>
  <si>
    <t>P0-02</t>
  </si>
  <si>
    <t>انتقال ClientKey، DNTCaptcha:EncryptionKey و ConnectionString از appsettings.json به User Secrets / secret store و چرخش کلیدها</t>
  </si>
  <si>
    <t>امنیت</t>
  </si>
  <si>
    <t>به‌تعویق</t>
  </si>
  <si>
    <t>تصمیم کاربر: فعلاً مقدارها در appsettings.json باقی بمانند. قبل از استقرار نهایی/انتشار مخزن دوباره بررسی شود.</t>
  </si>
  <si>
    <t>P0-03</t>
  </si>
  <si>
    <t>اجرای migrationهای 003 و 004 روی دیتابیس واقعی و ثبت نتیجه verify</t>
  </si>
  <si>
    <t>حل شد: پشتیبان کامل masoud (oi_10202026_1217.bak) روی دیتابیس OrganizationIntranet برگردانده شد و 001 تا 004 را دارد؛ 005 هم با backup قبلی اعمال و verify شد. ۸ تست بانک واقعی قبول است. فایل‌های 003 هنوز در مخزن نیستند (کار P0-09).</t>
  </si>
  <si>
    <t>P0-04</t>
  </si>
  <si>
    <t>تصمیم و ثبت ADR: روش SSO (OIDC با IdP داخلی یا سرویس توکن ساده)</t>
  </si>
  <si>
    <t>تصمیم</t>
  </si>
  <si>
    <t>تصمیم کاربر: فعلاً مشخص نیست و بعداً انجام می‌شود.</t>
  </si>
  <si>
    <t>P0-05</t>
  </si>
  <si>
    <t>تصمیم و ثبت: منبع هویت کاربران (فعلاً جدول کاربران؛ AD/LDAP در آینده در صورت نیاز)</t>
  </si>
  <si>
    <t>تصمیم فعلی: همین جدول کاربران (Sec.User). در صورت نیاز در آینده AD/LDAP بررسی می‌شود. این هنوز تصمیم نهایی معماری نیست.</t>
  </si>
  <si>
    <t>P0-06</t>
  </si>
  <si>
    <t>تصمیم: درگاه پیامک داخل شبکه است (بله)</t>
  </si>
  <si>
    <t>متوسط</t>
  </si>
  <si>
    <t>درگاه پیامک داخل شبکه است. کد آن در کار P6-08 اضافه شد (فعال‌سازی نیاز به AppName دارد).</t>
  </si>
  <si>
    <t>P0-07</t>
  </si>
  <si>
    <t>تعیین نقشه شبکه و استقرار: سرورها/دامنه‌های داخلی Portal، Admin و API؛ HTTPS با گواهی CA سازمان (تصمیم: HTTPS)</t>
  </si>
  <si>
    <t>در حال انجام</t>
  </si>
  <si>
    <t>تصمیم: HTTPS. هنوز مشخص نیست: نام سرورها و دامنه‌های داخلی و گواهی CA سازمان.</t>
  </si>
  <si>
    <t>P0-08</t>
  </si>
  <si>
    <t>ایجاد پروژه‌ی OrganizationIntranet.Tests و قاعده‌ی «هر تغییر یک تست»</t>
  </si>
  <si>
    <t>تست</t>
  </si>
  <si>
    <t>انجام شد: پروژه‌ی SmokeTests به OrganizationIntranet.Tests تبدیل شد (Unit/Integration/Database/Support + برچسب Category)، به solution اضافه شد، tests/README.md و قواعد ۱۵ و ۱۶ در CLAUDE.md نوشته شد. ۹۰ تست قبول، ۲ ردشده (بانک واقعی، اختیاری).</t>
  </si>
  <si>
    <t>P0-09</t>
  </si>
  <si>
    <t>تنظیم Api:ClientKey و Api:AdminClientKey در User Secrets هر سه برنامه</t>
  </si>
  <si>
    <t>انجام شد: کلیدهای تصادفی با dotnet user-secrets (PowerShell 7 برای tools/Initialize-Development.ps1 نصب نیست). برنامه‌های در حال اجرا باید دوباره راه‌اندازی شوند.</t>
  </si>
  <si>
    <t>P0-10</t>
  </si>
  <si>
    <t>افزودن فایل‌های 003_ApplicationCatalog (up/down/verify) به مخزن برای نصب‌های تازه</t>
  </si>
  <si>
    <t>دیتابیس</t>
  </si>
  <si>
    <t>انجام نشده</t>
  </si>
  <si>
    <t>دیتابیس فعلی آن را دارد ولی فایل‌هایش در مخزن نیست؛ masoud آن‌ها را نداشت. راه: ساخت از روی دیتابیس (Generate Scripts / تفاوت با 002) و بازبینی. 004 در tools/sql هست.</t>
  </si>
  <si>
    <t>P0-11</t>
  </si>
  <si>
    <t>اعمال migrationهای 006_NationalIdLogin و 007_PublicationImages روی بانک توسعه</t>
  </si>
  <si>
    <t>با backup COPY_ONLY+CHECKSUM (OrganizationIntranet_before_006_007_20261021_1516.bak)، verify هر دو موفق؛ ۹ تست بانک واقعی قبول. تاریخچه‌ی بانک: 001 تا 007.</t>
  </si>
  <si>
    <t>P0-12</t>
  </si>
  <si>
    <t>پاک‌سازی داده‌ی آزمایشی پیش از بهره‌برداری</t>
  </si>
  <si>
    <t>برای تست اضافه شد: ۸ مطلب (+۱ پیش‌نویس)، سرویس اعلان روی سامانه‌های ۲ و ۵، اعلان‌ها و ۴ درخواست دسترسی. همه با عبارت «داده‌ی آزمایشی» در متن.</t>
  </si>
  <si>
    <t>P0-13</t>
  </si>
  <si>
    <t>merge شاخه‌ی ms به master پس از بازبینی</t>
  </si>
  <si>
    <t>کاربر خودش merge/push می‌کند.</t>
  </si>
  <si>
    <t>فاز ۱ — کار بدون اینترنت</t>
  </si>
  <si>
    <t>P1-01</t>
  </si>
  <si>
    <t>میزبانی فونت Vazirmatn در wwwroot/fonts و حذف لینک Google Fonts از Portal/Index.cshtml</t>
  </si>
  <si>
    <t>توسعه</t>
  </si>
  <si>
    <t>فونت Vazir/Vazirmatn محلی است (assets/css/vazir-font.css)؛ هیچ لینک Google Fonts در صفحه‌ها نیست.</t>
  </si>
  <si>
    <t>P1-02</t>
  </si>
  <si>
    <t>بررسی استفاده واقعی از plyr و glightbox؛ حذف یا جایگزینی URLهای cdn.plyr.io</t>
  </si>
  <si>
    <t>پایین</t>
  </si>
  <si>
    <t>plyr و glightbox در هیچ صفحه‌ای بارگذاری نمی‌شوند؛ فقط فایل کتابخانه در wwwroot/assets/libs مانده (حذف اختیاری).</t>
  </si>
  <si>
    <t>P1-03</t>
  </si>
  <si>
    <t>اسکن همه فایل‌های cshtml/css/js برای هر اتصال بیرونی و رفع موارد باقی‌مانده</t>
  </si>
  <si>
    <t>اسکن cshtml/css/js: اتصال بیرونی (CDN، Google Fonts) در صفحه‌ها و سبک‌های خود پروژه نیست.</t>
  </si>
  <si>
    <t>P1-04</t>
  </si>
  <si>
    <t>تست همه صفحه‌ها با قطع اینترنت (حالت Offline) و ثبت نتیجه</t>
  </si>
  <si>
    <t>فاز ۲ — پرتال عمومی</t>
  </si>
  <si>
    <t>P2-01</t>
  </si>
  <si>
    <t>تعریف قرارداد «چه چیزی عمومی است» (سامانه IsPublic، اطلاعیه، فرم)</t>
  </si>
  <si>
    <t>ملاک: سامانه‌ی فعال با IsPublic و مطلب منتشرشده با IsPublic جدید؛ docs/public-portal.md</t>
  </si>
  <si>
    <t>P2-02</t>
  </si>
  <si>
    <t>ساخت endpointهای عمومی API با AllowAnonymous و Rate Limit (سامانه‌ها و اطلاعیه‌های عمومی)</t>
  </si>
  <si>
    <t>تعریف قرارداد عمومی</t>
  </si>
  <si>
    <t>PublicController (api/public/*) با AllowAnonymous، Rate Limit، DTO جدا و فقط‌خواندنی؛ کلید داخلی کلاینت همچنان لازم است</t>
  </si>
  <si>
    <t>P2-03</t>
  </si>
  <si>
    <t>تغییر صفحه اول Portal: نمایش محتوای عمومی بدون لاگین + دکمه ورود؛ پس از لاگین نمایش کارت‌های اختصاصی، کارتابل و اعلان‌ها</t>
  </si>
  <si>
    <t>endpointهای عمومی</t>
  </si>
  <si>
    <t>/ به /Portal می‌رود؛ ناشناس داده‌ی عمومی و دکمه‌ی ورود می‌بیند، بعد از ورود همان صفحه‌ی کامل. با مرورگر هم دیده شد</t>
  </si>
  <si>
    <t>P2-04</t>
  </si>
  <si>
    <t>باز شدن صفحه جزئیات اطلاعیه‌های عمومی بدون لاگین</t>
  </si>
  <si>
    <t>/Publications و جزئیات برای ناشناس باز است؛ پیش‌نویس و غیرعمومی ۴۰۴ می‌دهد</t>
  </si>
  <si>
    <t>P2-05</t>
  </si>
  <si>
    <t>آزمون امنیتی: کاربر ناشناس هیچ داده خصوصی (سامانه خصوصی، اعلان، کاربر) نبیند</t>
  </si>
  <si>
    <t>PublicPortalTests (۸ آزمون) + قید بانک؛ مسیرهای خصوصی API برای ناشناس ۴۰۱ است</t>
  </si>
  <si>
    <t>P2-06</t>
  </si>
  <si>
    <t>اعمال migration 005_PublicPublications روی بانک و اجرای verify</t>
  </si>
  <si>
    <t>P0-03 (migration 003/004)</t>
  </si>
  <si>
    <t>انجام شد: با backup COPY_ONLY قبلی (OrganizationIntranet_before_005_*.bak در پوشه‌ی Backup سرور)، اعمال، verify، و اجرای دوباره (بی‌اثر). API واقعی روی SQL Server واقعی با درخواست ناشناس آزموده شد.</t>
  </si>
  <si>
    <t>P2-07</t>
  </si>
  <si>
    <t>بازبینی داده: کدام سامانه‌ها در بانک «عمومی» هستند؟</t>
  </si>
  <si>
    <t>بانک masoud دو سامانه‌ی عمومی دارد: «مشاهده فیش حقوق» (RequiresLogin=false) و «درگاه واحد سازمان». سامانه‌ی فیش حقوق نباید برای ناشناس دیده شود مگر عمداً؛ قبل از رونمایی بازبینی شود.</t>
  </si>
  <si>
    <t>P2-08</t>
  </si>
  <si>
    <t>اصلاح .gitignore تا فایل‌های database/migrations دیگر نادیده گرفته نشوند</t>
  </si>
  <si>
    <t>خط ۳۸۹ حذف شد؛ 005 در whitelist است. فایل‌های 003 باید از masoud گرفته و commit شوند.</t>
  </si>
  <si>
    <t>فاز ۳ — محتوای قابل مدیریت</t>
  </si>
  <si>
    <t>P3-01</t>
  </si>
  <si>
    <t>طراحی جدول فرم‌ها و اسناد (عنوان، دسته، فایل/لینک، ترتیب، عمومی/خصوصی، فعال) + migration بالا/پایین/verify</t>
  </si>
  <si>
    <t>Schema پیشنهادی: Notify یا App</t>
  </si>
  <si>
    <t>P3-02</t>
  </si>
  <si>
    <t>طراحی جدول دسته‌بندی‌ها (قوانین و مقررات / فرم‌های سازمانی / انتشارات) + migration</t>
  </si>
  <si>
    <t>جایگزین بلوک‌های ثابت # در Portal</t>
  </si>
  <si>
    <t>P3-03</t>
  </si>
  <si>
    <t>طراحی جدول هشدار/Banner (متن، سطح، بازه نمایش، عمومی/خصوصی) + migration</t>
  </si>
  <si>
    <t>مدل Publication فقط سه نوع دارد</t>
  </si>
  <si>
    <t>P3-04</t>
  </si>
  <si>
    <t>تصمیم ذخیره فایل فرم‌ها (دیسک سرور یا دیتابیس)، محدودیت نوع و حجم، مسیر امن دانلود</t>
  </si>
  <si>
    <t>P3-05</t>
  </si>
  <si>
    <t>Entity، Repository، Application Service، Controller و DTO برای فرم‌ها، دسته‌ها و هشدارها</t>
  </si>
  <si>
    <t>طراحی جدول‌ها</t>
  </si>
  <si>
    <t>مطابق معماری لایه‌ای پنج‌پروژه‌ای</t>
  </si>
  <si>
    <t>P3-06</t>
  </si>
  <si>
    <t>جایگزینی بلوک‌های ثابت قوانین/انتشارات/فرم‌ها در Portal با داده واقعی و حذف عددهای ثابت</t>
  </si>
  <si>
    <t>API فرم‌ها و دسته‌ها</t>
  </si>
  <si>
    <t>P3-07</t>
  </si>
  <si>
    <t>نمایش هشدارها در بالای Portal</t>
  </si>
  <si>
    <t>API هشدارها</t>
  </si>
  <si>
    <t>P3-08</t>
  </si>
  <si>
    <t>تصویر شاخص اخبار و اسلایدر خودکار «اخبار سازمان» در صفحه‌ی اصلی (بالای سامانه‌ها)</t>
  </si>
  <si>
    <t>جدول Notify.PublicationImage (migration 007)، تشخیص نوع از امضای فایل، دید تصویر = دید مطلب، بارگذاری/حذف و پیش‌نمایش در پنل مدیریت؛ docs/portal-pages.md</t>
  </si>
  <si>
    <t>P3-09</t>
  </si>
  <si>
    <t>پیوست فایل به مطالب (مثلاً PDF بخشنامه‌ها) با دانلود امن</t>
  </si>
  <si>
    <t>هم‌راستا با تصمیم ذخیره‌ی فایل (P3-04)</t>
  </si>
  <si>
    <t>فاز ۴ — CRUD کامل در ادمین</t>
  </si>
  <si>
    <t>P4-01</t>
  </si>
  <si>
    <t>Publications: حذف نرم/بایگانی، پین، زمان‌بندی انتشار، انتخاب عمومی/خصوصی</t>
  </si>
  <si>
    <t>انجام شد: تصویر شاخص (migration 007)، عمومی/خصوصی، پیش‌نمایش کارت، صفحه‌بندی. باقی: حذف نرم/بایگانی، پین، زمان‌بندی انتشار.</t>
  </si>
  <si>
    <t>P4-02</t>
  </si>
  <si>
    <t>صفحات Admin برای فرم‌ها/اسناد: لیست، ساخت، ویرایش، فعال/غیرفعال، حذف</t>
  </si>
  <si>
    <t>فاز ۳</t>
  </si>
  <si>
    <t>P4-03</t>
  </si>
  <si>
    <t>صفحات Admin برای دسته‌ها: CRUD کامل</t>
  </si>
  <si>
    <t>P4-04</t>
  </si>
  <si>
    <t>صفحات Admin برای هشدارها: CRUD کامل</t>
  </si>
  <si>
    <t>P4-05</t>
  </si>
  <si>
    <t>نقش‌ها: ویرایش نام/کد و جلوگیری از حذف نقش دارای کاربر یا Permission</t>
  </si>
  <si>
    <t>صفحه‌ی Roles/Edit: ویرایش نام و کد (کد یکتا و با قالب معتبر؛ کد ADMIN و EXPERT ثابت)، اعضا و مجوزهای نقش، شمار کاربران/مجوزها در فهرست، حذف فقط برای نقش استفاده‌نشده. RoleManagementTests.</t>
  </si>
  <si>
    <t>P4-06</t>
  </si>
  <si>
    <t>کاربران: بایگانی/حذف نرم، import گروهی (CSV یا AD) و ریست رمز توسط مدیر</t>
  </si>
  <si>
    <t>تصمیم منبع هویت</t>
  </si>
  <si>
    <t>انجام شد: تعیین رمز توسط مدیر در ویرایش کاربر، جستجوی پیشرفته و صفحه‌بندی، ورود با کد ملی. باقی: بایگانی/حذف نرم، import گروهی.</t>
  </si>
  <si>
    <t>P4-07</t>
  </si>
  <si>
    <t>محتوای ثابت Portal (تماس با فناوری اطلاعات، فوتر، متن‌ها) از تنظیمات/دیتابیس و قابل ویرایش در Admin</t>
  </si>
  <si>
    <t>P4-08</t>
  </si>
  <si>
    <t>Audit کامل: ثبت چه کسی چه چیزی را تغییر داد برای همه عملیات ادمین</t>
  </si>
  <si>
    <t>الان فقط لاگ ساده دارد</t>
  </si>
  <si>
    <t>P4-09</t>
  </si>
  <si>
    <t>تبدیل مجوز صفحات Admin از Roles=ADMIN به Permission-based با Seed مجوزهای پایه</t>
  </si>
  <si>
    <t>migration 008_AdminPermissions روی بانک توسعه اعمال و verify شد (backup OrganizationIntranet_before_008_20261021_1628.bak). ۱۲ مجوز پنل در shared/Contracts/AdminPermissions.cs؛ API مجوز را زنده از بانک می‌خواند، UI هر ۵ دقیقه Claimها را تازه می‌کند (Logout/Login لازم نیست). جلوگیری از قفل‌شدن: نقش ADMIN و مجوزهای سیستمی غیرفعال نمی‌شوند و آخرین مدیر فعال حذف نمی‌شود. docs/admin-permissions.md، AdminPermissionTests.</t>
  </si>
  <si>
    <t>P4-10</t>
  </si>
  <si>
    <t>صفحه‌ی اعلان‌ها: صفحه‌بندی سمت سرور (الان ۵۰ اعلان آخر) و فیلتر تاریخ</t>
  </si>
  <si>
    <t>api/portal/notifications/page: UNION ALL دو منبع، صفحه‌بندی ۲۰تایی، تب با شمار، فیلتر منبع و بازه (۲۴ ساعت/۷/۳۰/۹۰ روز)؛ شمار زنگ هدر هم دقیق شد. NotificationCenterTests + آزمون SQL Server.</t>
  </si>
  <si>
    <t>P4-11</t>
  </si>
  <si>
    <t>داشبورد مدیریت: آمار واقعی (درخواست‌ها به تفکیک سامانه، ورودهای اخیر، مطالب پربازدید)</t>
  </si>
  <si>
    <t>فاز ۵ — SSO</t>
  </si>
  <si>
    <t>P5-01</t>
  </si>
  <si>
    <t>راه‌اندازی IdP داخلی یا توسعه endpoint صدور توکن در API (طبق ADR)</t>
  </si>
  <si>
    <t>ADR روش SSO</t>
  </si>
  <si>
    <t>P5-02</t>
  </si>
  <si>
    <t>تعریف قرارداد SSO برای هر Application: نوع ورود، redirect_uri مجاز، Scope</t>
  </si>
  <si>
    <t>P5-03</t>
  </si>
  <si>
    <t>تنظیم هر سامانه مقصد برای اعتماد به IdP</t>
  </si>
  <si>
    <t>قرارداد SSO</t>
  </si>
  <si>
    <t>در خود آن سامانه‌ها انجام می‌شود؛ نیاز به هماهنگی با تیم‌های دیگر</t>
  </si>
  <si>
    <t>P5-04</t>
  </si>
  <si>
    <t>کلیک روی کارت سامانه خصوصی ← توکن کوتاه‌مدت ← ورود خودکار بدون لاگین دوباره</t>
  </si>
  <si>
    <t>IdP و قرارداد SSO</t>
  </si>
  <si>
    <t>P5-05</t>
  </si>
  <si>
    <t>Logout سراسری و ابطال نشست‌ها هنگام تغییر رمز یا غیرفعال‌سازی کاربر</t>
  </si>
  <si>
    <t>تغییر رمز و ذخیره‌ی تنظیمات ورود همه‌ی توکن‌ها و نشست‌ها را باطل می‌کند؛ Logout سراسری بین سامانه‌ها به SSO وابسته است.</t>
  </si>
  <si>
    <t>P5-06</t>
  </si>
  <si>
    <t>هماهنگ‌کردن متن و رفتار کارت‌ها (RequiresLogin) با قابلیت واقعی SSO</t>
  </si>
  <si>
    <t>اتمام SSO</t>
  </si>
  <si>
    <t>فاز ۶ — امنیت و بهره‌برداری</t>
  </si>
  <si>
    <t>P6-01</t>
  </si>
  <si>
    <t>رفع ضعف GAP-04: حساب فاقد PasswordHash و ذخیره رمز واردشده در Login</t>
  </si>
  <si>
    <t>ورود با رمز محلی فقط با PasswordHash موجود و درست ممکن است؛ رمز واردشده دیگر ذخیره نمی‌شود (AuthenticationService.CredentialsAsync).</t>
  </si>
  <si>
    <t>P6-02</t>
  </si>
  <si>
    <t>رفع ضعف GAP-05: بازیابی رمز مبتنی بر اطلاعات هویتی ثابت</t>
  </si>
  <si>
    <t>بازیابی رمز فقط با کد پیامکی یک‌بارمصرف به شماره‌ی ثبت‌شده؛ تست Recovery_requires_sms_not_identity_fields.</t>
  </si>
  <si>
    <t>P6-03</t>
  </si>
  <si>
    <t>رفع GAP-03: فیلتر Role.IsActive در ساخت Claimها (اگر هنوز برقرار است)</t>
  </si>
  <si>
    <t>Claimهای نقش و مجوز فقط از نقش فعال و مجوز فعال ساخته می‌شوند (IntranetService.ProfileAsync).</t>
  </si>
  <si>
    <t>P6-04</t>
  </si>
  <si>
    <t>افزودن تست برای هر فاز، به‌ویژه مرز عمومی/خصوصی (الان ۵۷ تست قبول است)</t>
  </si>
  <si>
    <t>قاعده‌ی «هر تغییر یک تست» برقرار است: ۱۶۵ تست قبول + ۱۱ تست بانک واقعی (فقط‌خواندنی، اختیاری) قبول. ادامه‌دار برای هر تغییر.</t>
  </si>
  <si>
    <t>P6-05</t>
  </si>
  <si>
    <t>پشتیبان‌گیری دیتابیس، لاگ ساختاریافته، health check و پایش</t>
  </si>
  <si>
    <t>P6-06</t>
  </si>
  <si>
    <t>استقرار: Data Protection Keys پایدار، سرویس ویندوز/IIS، دستورالعمل نصب</t>
  </si>
  <si>
    <t>کلیدهای Data Protection روی دیسک پایدارند (API و UI). باقی: سرویس ویندوز/IIS، دستورالعمل نصب، HTTPS با گواهی سازمان.</t>
  </si>
  <si>
    <t>P6-07</t>
  </si>
  <si>
    <t>دسترس‌پذیری و Responsive در عرض‌های ۳۶۰، ۷۶۸ و ۱۴۴۰</t>
  </si>
  <si>
    <t>صفحه‌های ورود، داشبورد، پوسته‌ی Portal و مدال‌ها در ۳۷۵ و ۱۴۴۰ بررسی شد. باقی: جدول‌های پنل مدیریت در عرض خیلی کم، بازبینی کامل دسترس‌پذیری.</t>
  </si>
  <si>
    <t>P6-08</t>
  </si>
  <si>
    <t>افزودن و تنظیم سرویس پیامک داخلی (آدرس، کلید، Sender) و آزمون با Fake</t>
  </si>
  <si>
    <t>تصمیم پیامک (انجام شد)</t>
  </si>
  <si>
    <t>کد و تست کامل است؛ ورود با کد ملی و پیامک هم روی آن ساخته شد. ارسال واقعی فقط در شبکه‌ی داخلی ممکن است و هنوز آزموده نشده.</t>
  </si>
  <si>
    <t>P6-09</t>
  </si>
  <si>
    <t>ورود با کد ملی و پیامک (روش سوم در فهرست روش ورود)</t>
  </si>
  <si>
    <t>migration 006، عدم افشای ثبت‌بودن کد ملی، قفل پس از ۵ تلاش، کپچا؛ یک‌عاملی است و در تنظیمات به مدیر گفته شده. docs/national-id-login.md</t>
  </si>
  <si>
    <t>P6-10</t>
  </si>
  <si>
    <t>نمایش QR code در صفحه‌ی Google Authenticator (کتابخانه‌ی آفلاین)</t>
  </si>
  <si>
    <t>کاربر فعلاً به Google Authenticator نیاز ندارد و هنوز تصمیم نگرفته که در سامانه بماند.</t>
  </si>
  <si>
    <t>P6-11</t>
  </si>
  <si>
    <t>فعال‌سازی «ورود با کد ملی و پیامک» برای هر کاربر توسط مدیر</t>
  </si>
  <si>
    <t>هنوز بحث نشده؛ شاید همان ورود با نام کاربری و رمز کافی باشد. پیشنهاد اولیه: مدیر در کارتابل برای هر کاربر فعال کند.</t>
  </si>
  <si>
    <t>P6-12</t>
  </si>
  <si>
    <t>صفحه‌های خطای ۴۰۴ و ۵۰۰ هم‌خوان با تم هر دو پرتال</t>
  </si>
  <si>
    <t>الان صفحه‌ی Error پیش‌فرض است.</t>
  </si>
  <si>
    <t>P6-13</t>
  </si>
  <si>
    <t>لاگ ساختاریافته‌ی عملیات (چه کسی، چه زمانی، چه چیزی) و جدول Audit قابل جستجو در پنل مدیریت</t>
  </si>
  <si>
    <t>تکمیل P4-08؛ الان Audit فقط در لاگ برنامه نوشته می‌شود.</t>
  </si>
  <si>
    <t>P6-14</t>
  </si>
  <si>
    <t>health check برای API و پایش اتصال بانک/پیامک/LDAP</t>
  </si>
  <si>
    <t>بخشی از P6-05</t>
  </si>
  <si>
    <t>فاز ۷ — تجربه‌ی کاربری (UI/UX)</t>
  </si>
  <si>
    <t>P7-01</t>
  </si>
  <si>
    <t>بازطراحی صفحه‌های پنل مدیریت روی yzen: سربرگ یکسان، جدول‌ها، فرم‌های بخش‌بندی‌شده، حالت خالی</t>
  </si>
  <si>
    <t>UI/UX</t>
  </si>
  <si>
    <t>docs/admin-ui.md</t>
  </si>
  <si>
    <t>P7-02</t>
  </si>
  <si>
    <t>صفحه‌بندی همه‌ی جدول‌ها، ستون «عملیات»، دکمه‌ی ثبت پایین سمت چپ، دکمه‌های هدایت رنگی</t>
  </si>
  <si>
    <t>P7-03</t>
  </si>
  <si>
    <t>جستجوی پیشرفته‌ی کاربران با فیلدهای جدا و برچسب فیلترهای فعال</t>
  </si>
  <si>
    <t>P7-04</t>
  </si>
  <si>
    <t>هدر پنل مدیریت: زنگ اعلان مطابق yzen (در همه‌ی صفحه‌ها)، دکمه‌ی جمع‌کردن منو، ترتیب منو</t>
  </si>
  <si>
    <t>P7-05</t>
  </si>
  <si>
    <t>داشبورد: کادر خوش‌آمد روشن با نمای بندر (ماه در تم تیره)</t>
  </si>
  <si>
    <t>P7-06</t>
  </si>
  <si>
    <t>صفحه‌ی ورود جدا و هم‌تم برای Portal و Admin؛ دکمه‌ی نمایش رمز و کپچای تمام‌عرض در ورود مدیریت</t>
  </si>
  <si>
    <t>P7-07</t>
  </si>
  <si>
    <t>پوسته‌ی صفحه‌های داخلی Portal: پروفایل، تنظیمات حساب، امنیت، اعلان‌ها، درخواست دسترسی، اخبار و جزئیات</t>
  </si>
  <si>
    <t>docs/portal-pages.md</t>
  </si>
  <si>
    <t>P7-08</t>
  </si>
  <si>
    <t>توست هم‌تم در Portal و توست تمپلیت برای همه‌ی خطاهای پنل مدیریت</t>
  </si>
  <si>
    <t>P7-09</t>
  </si>
  <si>
    <t>حذف متن‌های توضیحی اضافه‌ی Portal و کوچک‌کردن مدال درخواست دسترسی</t>
  </si>
  <si>
    <t>P7-10</t>
  </si>
  <si>
    <t>بازطراحی «کارتابل نظارت»: صفحه‌ی /Supervision با تب وضعیت، فیلتر سامانه و صفحه‌بندی؛ کارت خلاصه در صفحه‌ی اصلی و منوی حساب برای ناظر</t>
  </si>
  <si>
    <t>فیلتر وضعیت «درخواست‌های من» هم سمت سرور شد</t>
  </si>
  <si>
    <t>P7-11</t>
  </si>
  <si>
    <t>نمایش خطای ورود Portal به‌صورت توست تم پورتال</t>
  </si>
  <si>
    <t>الان داخل کادر ورود نمایش داده می‌شود.</t>
  </si>
  <si>
    <t>P7-12</t>
  </si>
  <si>
    <t>جدول‌های پنل مدیریت در عرض موبایل (کارتی‌شدن ردیف‌ها یا اسکرول افقی بهتر)</t>
  </si>
  <si>
    <t>راهنما</t>
  </si>
  <si>
    <t>سلول‌های زرد (وضعیت، مسئول، تاریخ هدف) را شما پر می‌کنید؛ وضعیت از لیست کشویی انتخاب می‌شود و «خلاصه پیشرفت» خودکار به‌روز می‌شود.</t>
  </si>
  <si>
    <t>تاریخ هدف را به‌صورت میلادی (yyyy-mm-dd) وارد کنید؛ ستون «مسئول» عمداً خالی است.</t>
  </si>
  <si>
    <t>کل کارها</t>
  </si>
  <si>
    <t>مسدود</t>
  </si>
  <si>
    <t>درصد پیشرفت</t>
  </si>
  <si>
    <t>جمع کل</t>
  </si>
  <si>
    <t>اعداد این برگه از «لیست کارها» محاسبه می‌شوند و نباید دستی تغییر کنند.</t>
  </si>
  <si>
    <t>قابلیت</t>
  </si>
  <si>
    <t>شاهد</t>
  </si>
  <si>
    <t>پرتال عمومی بدون لاگین</t>
  </si>
  <si>
    <t>دارد</t>
  </si>
  <si>
    <t>سامانه‌ها و مطالب عمومی؛ ناشناس هیچ داده‌ی خصوصی نمی‌بیند (PublicPortalTests)</t>
  </si>
  <si>
    <t>سامانه‌ها، اعلان، درخواست دسترسی و اطلاعیه در Portal</t>
  </si>
  <si>
    <t>صفحه‌های اعلان‌ها (تب‌دار) و درخواست دسترسی جدا ساخته شد</t>
  </si>
  <si>
    <t>اخبار تصویری و اسلایدر</t>
  </si>
  <si>
    <t>تصویر شاخص با مدیریت در پنل؛ migration 007</t>
  </si>
  <si>
    <t>فرم‌ها و قوانین و مقررات</t>
  </si>
  <si>
    <t>ندارد</t>
  </si>
  <si>
    <t>هنوز لینک‌های ثابت # در صفحه‌ی اصلی؛ جدول و صفحه‌ی مدیریت ندارد (فاز ۳)</t>
  </si>
  <si>
    <t>هشدار / Banner</t>
  </si>
  <si>
    <t>SSO</t>
  </si>
  <si>
    <t>تصمیم روش به تعویق افتاده (P0-04)</t>
  </si>
  <si>
    <t>کار بدون اینترنت</t>
  </si>
  <si>
    <t>فونت و همه‌ی دارایی‌ها محلی‌اند؛ آزمون واقعی بدون اینترنت (P1-04) باقی است</t>
  </si>
  <si>
    <t>ورود: رمز، LDAP، کد ملی و پیامک، دومرحله‌ای</t>
  </si>
  <si>
    <t>Google Authenticator و پیامک؛ ارسال واقعی پیامک آزموده نشده</t>
  </si>
  <si>
    <t>Admin: کاربران</t>
  </si>
  <si>
    <t>لیست با صفحه‌بندی و جستجوی پیشرفته، ویرایش، فعال/غیرفعال؛ بایگانی و import ندارد</t>
  </si>
  <si>
    <t>Admin: Publications</t>
  </si>
  <si>
    <t>نسبی</t>
  </si>
  <si>
    <t>ساخت، ویرایش، تصویر، عمومی/خصوصی؛ حذف/بایگانی، پین و زمان‌بندی ندارد</t>
  </si>
  <si>
    <t>Admin: نقش‌ها</t>
  </si>
  <si>
    <t>ساخت، ویرایش نام/کد، جزئیات اعضا و مجوزها، شمارها، فعال/غیرفعال، حذف نقش استفاده‌نشده</t>
  </si>
  <si>
    <t>Admin: سامانه‌ها</t>
  </si>
  <si>
    <t>ساخت، تنظیمات، دسترسی، سرویس‌ها و گروه نظارت</t>
  </si>
  <si>
    <t>مجوزدهی Permission-based در پنل</t>
  </si>
  <si>
    <t>هر صفحه و endpoint مجوز خودش را دارد؛ منو و دکمه‌ها هم بر اساس مجوز (P4-09، migration 008)</t>
  </si>
  <si>
    <t>دیتابیس: migrationها</t>
  </si>
  <si>
    <t>بانک توسعه 001 تا 008 را دارد؛ فایل‌های 003_ApplicationCatalog در مخزن نیست (P0-10)</t>
  </si>
  <si>
    <t>داده‌ی آزمایشی در بانک توسعه</t>
  </si>
  <si>
    <t>باید پیش از بهره‌برداری پاک شود</t>
  </si>
  <si>
    <t>سؤال</t>
  </si>
  <si>
    <t>اثر تصمیم</t>
  </si>
  <si>
    <t>پاسخ</t>
  </si>
  <si>
    <t>کاربران از Active Directory سازمان وارد می‌شوند یا همین جدول کاربران؟</t>
  </si>
  <si>
    <t>ورود، SSO، ایمپورت کاربران</t>
  </si>
  <si>
    <t>فعلاً همین جدول کاربران (Sec.User). در آینده در صورت نیاز تغییر می‌کند؛ تصمیم نهایی معماری نیست.</t>
  </si>
  <si>
    <t>سامانه‌هایی که باید SSO شوند چند تا هستند و با چه فناوری‌هایی نوشته شده‌اند؟</t>
  </si>
  <si>
    <t>انتخاب پروتکل SSO</t>
  </si>
  <si>
    <t>فعلاً مشخص نیست؛ بعداً انجام می‌شود.</t>
  </si>
  <si>
    <t>درگاه پیامک داخل شبکه سازمان است؟</t>
  </si>
  <si>
    <t>ورود با پیامک و اعلان درخواست دسترسی</t>
  </si>
  <si>
    <t>بله، داخل شبکه است؛ کد آن اضافه شد.</t>
  </si>
  <si>
    <t>پروتکل شبکه برای Portal، Admin و API؟</t>
  </si>
  <si>
    <t>استقرار و گواهی</t>
  </si>
  <si>
    <t>HTTPS. نام سرورها/دامنه‌ها و گواهی CA سازمان هنوز مشخص نیست.</t>
  </si>
  <si>
    <t>کدام سامانه‌ها واقعاً «عمومی» باشند (مثلاً فیش حقوق)؟</t>
  </si>
  <si>
    <t>دید بازدیدکننده‌ی ناشناس</t>
  </si>
  <si>
    <t>بعداً در یک فهرست کلی مشخص می‌شود؛ فعلاً به همین صورت آزمایشی بماند.</t>
  </si>
  <si>
    <t>فایل فرم‌ها و پیوست مطالب کجا ذخیره شود (دیسک سرور یا بانک) و سقف حجم؟</t>
  </si>
  <si>
    <t>روی دیسک، در پوشه‌ی Downloads درایو C؛ مسیر در تنظیمات قابل تغییر باشد (برای استقرار روی سرور بازبینی شود).</t>
  </si>
  <si>
    <t>ورود با کد ملی و پیامک یک‌عاملی است؛ برای چه کاربرانی فعال شود؟</t>
  </si>
  <si>
    <t>امنیت ورود</t>
  </si>
  <si>
    <t>به تعویق افتاد؛ هنوز بحث نشده و شاید همان ورود با نام کاربری و رمز کافی باشد.</t>
  </si>
  <si>
    <t>مطالب قدیمی حذف شوند یا بایگانی؟ مدت نگه‌داری؟</t>
  </si>
  <si>
    <t>نیاز به بحث دارد؛ فعلاً سراغ آن نمی‌رویم.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</si>
</sst>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0" fontId="3" fillId="0" borderId="0" xfId="0" applyFont="1"/>
    <xf numFmtId="0" fontId="2" fillId="0" borderId="0" xfId="0" applyFont="1"/>
    <xf numFmtId="9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8">
    <dxf>
      <fill>
        <patternFill patternType="solid">
          <bgColor rgb="FFC6EF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E7E6E6"/>
        </patternFill>
      </fill>
    </dxf>
    <dxf>
      <font>
        <b/>
        <color rgb="FFC00000"/>
      </font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3" max="3" width="70" customWidth="1"/>
    <col min="4" max="4" width="11" customWidth="1"/>
    <col min="5" max="5" width="10" customWidth="1"/>
    <col min="6" max="6" width="14" customWidth="1"/>
    <col min="7" max="7" width="24" customWidth="1"/>
    <col min="8" max="8" width="14" customWidth="1"/>
    <col min="9" max="9" width="13" customWidth="1"/>
    <col min="10" max="10" width="4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2" t="s">
        <v>12</v>
      </c>
      <c r="D2" s="3" t="s">
        <v>13</v>
      </c>
      <c r="E2" s="3" t="s">
        <v>14</v>
      </c>
      <c r="F2" s="4" t="s">
        <v>15</v>
      </c>
      <c r="G2" s="2" t="s">
        <v>16</v>
      </c>
      <c r="H2" s="5" t="s">
        <v>16</v>
      </c>
      <c r="I2" s="6"/>
      <c r="J2" s="2" t="s">
        <v>17</v>
      </c>
    </row>
    <row r="3" spans="1:10" x14ac:dyDescent="0.25">
      <c r="A3" s="2" t="s">
        <v>10</v>
      </c>
      <c r="B3" s="3" t="s">
        <v>18</v>
      </c>
      <c r="C3" s="2" t="s">
        <v>19</v>
      </c>
      <c r="D3" s="3" t="s">
        <v>20</v>
      </c>
      <c r="E3" s="3" t="s">
        <v>14</v>
      </c>
      <c r="F3" s="4" t="s">
        <v>21</v>
      </c>
      <c r="G3" s="2" t="s">
        <v>16</v>
      </c>
      <c r="H3" s="5" t="s">
        <v>16</v>
      </c>
      <c r="I3" s="6"/>
      <c r="J3" s="2" t="s">
        <v>22</v>
      </c>
    </row>
    <row r="4" spans="1:10" x14ac:dyDescent="0.25">
      <c r="A4" s="2" t="s">
        <v>10</v>
      </c>
      <c r="B4" s="3" t="s">
        <v>23</v>
      </c>
      <c r="C4" s="2" t="s">
        <v>24</v>
      </c>
      <c r="D4" s="3" t="s">
        <v>13</v>
      </c>
      <c r="E4" s="3" t="s">
        <v>14</v>
      </c>
      <c r="F4" s="4" t="s">
        <v>15</v>
      </c>
      <c r="G4" s="2" t="s">
        <v>16</v>
      </c>
      <c r="H4" s="5" t="s">
        <v>16</v>
      </c>
      <c r="I4" s="6"/>
      <c r="J4" s="2" t="s">
        <v>25</v>
      </c>
    </row>
    <row r="5" spans="1:10" x14ac:dyDescent="0.25">
      <c r="A5" s="2" t="s">
        <v>10</v>
      </c>
      <c r="B5" s="3" t="s">
        <v>26</v>
      </c>
      <c r="C5" s="2" t="s">
        <v>27</v>
      </c>
      <c r="D5" s="3" t="s">
        <v>28</v>
      </c>
      <c r="E5" s="3" t="s">
        <v>14</v>
      </c>
      <c r="F5" s="4" t="s">
        <v>21</v>
      </c>
      <c r="G5" s="2" t="s">
        <v>16</v>
      </c>
      <c r="H5" s="5" t="s">
        <v>16</v>
      </c>
      <c r="I5" s="6"/>
      <c r="J5" s="2" t="s">
        <v>29</v>
      </c>
    </row>
    <row r="6" spans="1:10" x14ac:dyDescent="0.25">
      <c r="A6" s="2" t="s">
        <v>10</v>
      </c>
      <c r="B6" s="3" t="s">
        <v>30</v>
      </c>
      <c r="C6" s="2" t="s">
        <v>31</v>
      </c>
      <c r="D6" s="3" t="s">
        <v>28</v>
      </c>
      <c r="E6" s="3" t="s">
        <v>14</v>
      </c>
      <c r="F6" s="4" t="s">
        <v>15</v>
      </c>
      <c r="G6" s="2" t="s">
        <v>16</v>
      </c>
      <c r="H6" s="5" t="s">
        <v>16</v>
      </c>
      <c r="I6" s="6"/>
      <c r="J6" s="2" t="s">
        <v>32</v>
      </c>
    </row>
    <row r="7" spans="1:10" x14ac:dyDescent="0.25">
      <c r="A7" s="2" t="s">
        <v>10</v>
      </c>
      <c r="B7" s="3" t="s">
        <v>33</v>
      </c>
      <c r="C7" s="2" t="s">
        <v>34</v>
      </c>
      <c r="D7" s="3" t="s">
        <v>28</v>
      </c>
      <c r="E7" s="3" t="s">
        <v>35</v>
      </c>
      <c r="F7" s="4" t="s">
        <v>15</v>
      </c>
      <c r="G7" s="2" t="s">
        <v>16</v>
      </c>
      <c r="H7" s="5" t="s">
        <v>16</v>
      </c>
      <c r="I7" s="6"/>
      <c r="J7" s="2" t="s">
        <v>36</v>
      </c>
    </row>
    <row r="8" spans="1:10" x14ac:dyDescent="0.25">
      <c r="A8" s="2" t="s">
        <v>10</v>
      </c>
      <c r="B8" s="3" t="s">
        <v>37</v>
      </c>
      <c r="C8" s="2" t="s">
        <v>38</v>
      </c>
      <c r="D8" s="3" t="s">
        <v>13</v>
      </c>
      <c r="E8" s="3" t="s">
        <v>35</v>
      </c>
      <c r="F8" s="4" t="s">
        <v>39</v>
      </c>
      <c r="G8" s="2" t="s">
        <v>16</v>
      </c>
      <c r="H8" s="5" t="s">
        <v>16</v>
      </c>
      <c r="I8" s="6"/>
      <c r="J8" s="2" t="s">
        <v>40</v>
      </c>
    </row>
    <row r="9" spans="1:10" x14ac:dyDescent="0.25">
      <c r="A9" s="2" t="s">
        <v>10</v>
      </c>
      <c r="B9" s="3" t="s">
        <v>41</v>
      </c>
      <c r="C9" s="2" t="s">
        <v>42</v>
      </c>
      <c r="D9" s="3" t="s">
        <v>43</v>
      </c>
      <c r="E9" s="3" t="s">
        <v>14</v>
      </c>
      <c r="F9" s="4" t="s">
        <v>15</v>
      </c>
      <c r="G9" s="2" t="s">
        <v>16</v>
      </c>
      <c r="H9" s="5" t="s">
        <v>16</v>
      </c>
      <c r="I9" s="6"/>
      <c r="J9" s="2" t="s">
        <v>44</v>
      </c>
    </row>
    <row r="10" spans="1:10" x14ac:dyDescent="0.25">
      <c r="A10" s="2" t="s">
        <v>10</v>
      </c>
      <c r="B10" s="3" t="s">
        <v>45</v>
      </c>
      <c r="C10" s="2" t="s">
        <v>46</v>
      </c>
      <c r="D10" s="3" t="s">
        <v>13</v>
      </c>
      <c r="E10" s="3" t="s">
        <v>14</v>
      </c>
      <c r="F10" s="4" t="s">
        <v>15</v>
      </c>
      <c r="G10" s="2" t="s">
        <v>16</v>
      </c>
      <c r="H10" s="5" t="s">
        <v>16</v>
      </c>
      <c r="I10" s="6"/>
      <c r="J10" s="2" t="s">
        <v>47</v>
      </c>
    </row>
    <row r="11" spans="1:10" x14ac:dyDescent="0.25">
      <c r="A11" s="2" t="s">
        <v>10</v>
      </c>
      <c r="B11" s="3" t="s">
        <v>48</v>
      </c>
      <c r="C11" s="2" t="s">
        <v>49</v>
      </c>
      <c r="D11" s="3" t="s">
        <v>50</v>
      </c>
      <c r="E11" s="3" t="s">
        <v>35</v>
      </c>
      <c r="F11" s="4" t="s">
        <v>51</v>
      </c>
      <c r="G11" s="2" t="s">
        <v>16</v>
      </c>
      <c r="H11" s="5" t="s">
        <v>16</v>
      </c>
      <c r="I11" s="6"/>
      <c r="J11" s="2" t="s">
        <v>52</v>
      </c>
    </row>
    <row r="12" spans="1:10" x14ac:dyDescent="0.25">
      <c r="A12" s="2" t="s">
        <v>10</v>
      </c>
      <c r="B12" s="3" t="s">
        <v>53</v>
      </c>
      <c r="C12" s="2" t="s">
        <v>54</v>
      </c>
      <c r="D12" s="3" t="s">
        <v>50</v>
      </c>
      <c r="E12" s="3" t="s">
        <v>14</v>
      </c>
      <c r="F12" s="4" t="s">
        <v>15</v>
      </c>
      <c r="G12" s="2" t="s">
        <v>16</v>
      </c>
      <c r="H12" s="5" t="s">
        <v>16</v>
      </c>
      <c r="I12" s="6"/>
      <c r="J12" s="2" t="s">
        <v>55</v>
      </c>
    </row>
    <row r="13" spans="1:10" x14ac:dyDescent="0.25">
      <c r="A13" s="2" t="s">
        <v>10</v>
      </c>
      <c r="B13" s="3" t="s">
        <v>56</v>
      </c>
      <c r="C13" s="2" t="s">
        <v>57</v>
      </c>
      <c r="D13" s="3" t="s">
        <v>50</v>
      </c>
      <c r="E13" s="3" t="s">
        <v>14</v>
      </c>
      <c r="F13" s="4" t="s">
        <v>51</v>
      </c>
      <c r="G13" s="2" t="s">
        <v>16</v>
      </c>
      <c r="H13" s="5" t="s">
        <v>16</v>
      </c>
      <c r="I13" s="6"/>
      <c r="J13" s="2" t="s">
        <v>58</v>
      </c>
    </row>
    <row r="14" spans="1:10" x14ac:dyDescent="0.25">
      <c r="A14" s="2" t="s">
        <v>10</v>
      </c>
      <c r="B14" s="3" t="s">
        <v>59</v>
      </c>
      <c r="C14" s="2" t="s">
        <v>60</v>
      </c>
      <c r="D14" s="3" t="s">
        <v>13</v>
      </c>
      <c r="E14" s="3" t="s">
        <v>35</v>
      </c>
      <c r="F14" s="4" t="s">
        <v>51</v>
      </c>
      <c r="G14" s="2" t="s">
        <v>16</v>
      </c>
      <c r="H14" s="5" t="s">
        <v>16</v>
      </c>
      <c r="I14" s="6"/>
      <c r="J14" s="2" t="s">
        <v>61</v>
      </c>
    </row>
    <row r="15" spans="1:10" x14ac:dyDescent="0.25">
      <c r="A15" s="2" t="s">
        <v>62</v>
      </c>
      <c r="B15" s="3" t="s">
        <v>63</v>
      </c>
      <c r="C15" s="2" t="s">
        <v>64</v>
      </c>
      <c r="D15" s="3" t="s">
        <v>65</v>
      </c>
      <c r="E15" s="3" t="s">
        <v>14</v>
      </c>
      <c r="F15" s="4" t="s">
        <v>15</v>
      </c>
      <c r="G15" s="2" t="s">
        <v>16</v>
      </c>
      <c r="H15" s="5" t="s">
        <v>16</v>
      </c>
      <c r="I15" s="6"/>
      <c r="J15" s="2" t="s">
        <v>66</v>
      </c>
    </row>
    <row r="16" spans="1:10" x14ac:dyDescent="0.25">
      <c r="A16" s="2" t="s">
        <v>62</v>
      </c>
      <c r="B16" s="3" t="s">
        <v>67</v>
      </c>
      <c r="C16" s="2" t="s">
        <v>68</v>
      </c>
      <c r="D16" s="3" t="s">
        <v>65</v>
      </c>
      <c r="E16" s="3" t="s">
        <v>69</v>
      </c>
      <c r="F16" s="4" t="s">
        <v>15</v>
      </c>
      <c r="G16" s="2" t="s">
        <v>16</v>
      </c>
      <c r="H16" s="5" t="s">
        <v>16</v>
      </c>
      <c r="I16" s="6"/>
      <c r="J16" s="2" t="s">
        <v>70</v>
      </c>
    </row>
    <row r="17" spans="1:10" x14ac:dyDescent="0.25">
      <c r="A17" s="2" t="s">
        <v>62</v>
      </c>
      <c r="B17" s="3" t="s">
        <v>71</v>
      </c>
      <c r="C17" s="2" t="s">
        <v>72</v>
      </c>
      <c r="D17" s="3" t="s">
        <v>65</v>
      </c>
      <c r="E17" s="3" t="s">
        <v>35</v>
      </c>
      <c r="F17" s="4" t="s">
        <v>15</v>
      </c>
      <c r="G17" s="2" t="s">
        <v>16</v>
      </c>
      <c r="H17" s="5" t="s">
        <v>16</v>
      </c>
      <c r="I17" s="6"/>
      <c r="J17" s="2" t="s">
        <v>73</v>
      </c>
    </row>
    <row r="18" spans="1:10" x14ac:dyDescent="0.25">
      <c r="A18" s="2" t="s">
        <v>62</v>
      </c>
      <c r="B18" s="3" t="s">
        <v>74</v>
      </c>
      <c r="C18" s="2" t="s">
        <v>75</v>
      </c>
      <c r="D18" s="3" t="s">
        <v>43</v>
      </c>
      <c r="E18" s="3" t="s">
        <v>14</v>
      </c>
      <c r="F18" s="4" t="s">
        <v>51</v>
      </c>
      <c r="G18" s="2" t="s">
        <v>16</v>
      </c>
      <c r="H18" s="5" t="s">
        <v>16</v>
      </c>
      <c r="I18" s="6"/>
      <c r="J18" s="2" t="s">
        <v>16</v>
      </c>
    </row>
    <row r="19" spans="1:10" x14ac:dyDescent="0.25">
      <c r="A19" s="2" t="s">
        <v>76</v>
      </c>
      <c r="B19" s="3" t="s">
        <v>77</v>
      </c>
      <c r="C19" s="2" t="s">
        <v>78</v>
      </c>
      <c r="D19" s="3" t="s">
        <v>28</v>
      </c>
      <c r="E19" s="3" t="s">
        <v>14</v>
      </c>
      <c r="F19" s="4" t="s">
        <v>15</v>
      </c>
      <c r="G19" s="2" t="s">
        <v>16</v>
      </c>
      <c r="H19" s="5" t="s">
        <v>16</v>
      </c>
      <c r="I19" s="6"/>
      <c r="J19" s="2" t="s">
        <v>79</v>
      </c>
    </row>
    <row r="20" spans="1:10" x14ac:dyDescent="0.25">
      <c r="A20" s="2" t="s">
        <v>76</v>
      </c>
      <c r="B20" s="3" t="s">
        <v>80</v>
      </c>
      <c r="C20" s="2" t="s">
        <v>81</v>
      </c>
      <c r="D20" s="3" t="s">
        <v>65</v>
      </c>
      <c r="E20" s="3" t="s">
        <v>14</v>
      </c>
      <c r="F20" s="4" t="s">
        <v>15</v>
      </c>
      <c r="G20" s="2" t="s">
        <v>82</v>
      </c>
      <c r="H20" s="5" t="s">
        <v>16</v>
      </c>
      <c r="I20" s="6"/>
      <c r="J20" s="2" t="s">
        <v>83</v>
      </c>
    </row>
    <row r="21" spans="1:10" x14ac:dyDescent="0.25">
      <c r="A21" s="2" t="s">
        <v>76</v>
      </c>
      <c r="B21" s="3" t="s">
        <v>84</v>
      </c>
      <c r="C21" s="2" t="s">
        <v>85</v>
      </c>
      <c r="D21" s="3" t="s">
        <v>65</v>
      </c>
      <c r="E21" s="3" t="s">
        <v>14</v>
      </c>
      <c r="F21" s="4" t="s">
        <v>15</v>
      </c>
      <c r="G21" s="2" t="s">
        <v>86</v>
      </c>
      <c r="H21" s="5" t="s">
        <v>16</v>
      </c>
      <c r="I21" s="6"/>
      <c r="J21" s="2" t="s">
        <v>87</v>
      </c>
    </row>
    <row r="22" spans="1:10" x14ac:dyDescent="0.25">
      <c r="A22" s="2" t="s">
        <v>76</v>
      </c>
      <c r="B22" s="3" t="s">
        <v>88</v>
      </c>
      <c r="C22" s="2" t="s">
        <v>89</v>
      </c>
      <c r="D22" s="3" t="s">
        <v>65</v>
      </c>
      <c r="E22" s="3" t="s">
        <v>35</v>
      </c>
      <c r="F22" s="4" t="s">
        <v>15</v>
      </c>
      <c r="G22" s="2" t="s">
        <v>86</v>
      </c>
      <c r="H22" s="5" t="s">
        <v>16</v>
      </c>
      <c r="I22" s="6"/>
      <c r="J22" s="2" t="s">
        <v>90</v>
      </c>
    </row>
    <row r="23" spans="1:10" x14ac:dyDescent="0.25">
      <c r="A23" s="2" t="s">
        <v>76</v>
      </c>
      <c r="B23" s="3" t="s">
        <v>91</v>
      </c>
      <c r="C23" s="2" t="s">
        <v>92</v>
      </c>
      <c r="D23" s="3" t="s">
        <v>43</v>
      </c>
      <c r="E23" s="3" t="s">
        <v>14</v>
      </c>
      <c r="F23" s="4" t="s">
        <v>15</v>
      </c>
      <c r="G23" s="2" t="s">
        <v>16</v>
      </c>
      <c r="H23" s="5" t="s">
        <v>16</v>
      </c>
      <c r="I23" s="6"/>
      <c r="J23" s="2" t="s">
        <v>93</v>
      </c>
    </row>
    <row r="24" spans="1:10" x14ac:dyDescent="0.25">
      <c r="A24" s="2" t="s">
        <v>76</v>
      </c>
      <c r="B24" s="3" t="s">
        <v>94</v>
      </c>
      <c r="C24" s="2" t="s">
        <v>95</v>
      </c>
      <c r="D24" s="3" t="s">
        <v>50</v>
      </c>
      <c r="E24" s="3" t="s">
        <v>14</v>
      </c>
      <c r="F24" s="4" t="s">
        <v>15</v>
      </c>
      <c r="G24" s="2" t="s">
        <v>96</v>
      </c>
      <c r="H24" s="5" t="s">
        <v>16</v>
      </c>
      <c r="I24" s="6"/>
      <c r="J24" s="2" t="s">
        <v>97</v>
      </c>
    </row>
    <row r="25" spans="1:10" x14ac:dyDescent="0.25">
      <c r="A25" s="2" t="s">
        <v>76</v>
      </c>
      <c r="B25" s="3" t="s">
        <v>98</v>
      </c>
      <c r="C25" s="2" t="s">
        <v>99</v>
      </c>
      <c r="D25" s="3" t="s">
        <v>20</v>
      </c>
      <c r="E25" s="3" t="s">
        <v>14</v>
      </c>
      <c r="F25" s="4" t="s">
        <v>51</v>
      </c>
      <c r="G25" s="2" t="s">
        <v>16</v>
      </c>
      <c r="H25" s="5" t="s">
        <v>16</v>
      </c>
      <c r="I25" s="6"/>
      <c r="J25" s="2" t="s">
        <v>100</v>
      </c>
    </row>
    <row r="26" spans="1:10" x14ac:dyDescent="0.25">
      <c r="A26" s="2" t="s">
        <v>76</v>
      </c>
      <c r="B26" s="3" t="s">
        <v>101</v>
      </c>
      <c r="C26" s="2" t="s">
        <v>102</v>
      </c>
      <c r="D26" s="3" t="s">
        <v>13</v>
      </c>
      <c r="E26" s="3" t="s">
        <v>14</v>
      </c>
      <c r="F26" s="4" t="s">
        <v>15</v>
      </c>
      <c r="G26" s="2" t="s">
        <v>16</v>
      </c>
      <c r="H26" s="5" t="s">
        <v>16</v>
      </c>
      <c r="I26" s="6"/>
      <c r="J26" s="2" t="s">
        <v>103</v>
      </c>
    </row>
    <row r="27" spans="1:10" x14ac:dyDescent="0.25">
      <c r="A27" s="2" t="s">
        <v>104</v>
      </c>
      <c r="B27" s="3" t="s">
        <v>105</v>
      </c>
      <c r="C27" s="2" t="s">
        <v>106</v>
      </c>
      <c r="D27" s="3" t="s">
        <v>50</v>
      </c>
      <c r="E27" s="3" t="s">
        <v>14</v>
      </c>
      <c r="F27" s="4" t="s">
        <v>51</v>
      </c>
      <c r="G27" s="2" t="s">
        <v>16</v>
      </c>
      <c r="H27" s="5" t="s">
        <v>16</v>
      </c>
      <c r="I27" s="6"/>
      <c r="J27" s="2" t="s">
        <v>107</v>
      </c>
    </row>
    <row r="28" spans="1:10" x14ac:dyDescent="0.25">
      <c r="A28" s="2" t="s">
        <v>104</v>
      </c>
      <c r="B28" s="3" t="s">
        <v>108</v>
      </c>
      <c r="C28" s="2" t="s">
        <v>109</v>
      </c>
      <c r="D28" s="3" t="s">
        <v>50</v>
      </c>
      <c r="E28" s="3" t="s">
        <v>14</v>
      </c>
      <c r="F28" s="4" t="s">
        <v>51</v>
      </c>
      <c r="G28" s="2" t="s">
        <v>16</v>
      </c>
      <c r="H28" s="5" t="s">
        <v>16</v>
      </c>
      <c r="I28" s="6"/>
      <c r="J28" s="2" t="s">
        <v>110</v>
      </c>
    </row>
    <row r="29" spans="1:10" x14ac:dyDescent="0.25">
      <c r="A29" s="2" t="s">
        <v>104</v>
      </c>
      <c r="B29" s="3" t="s">
        <v>111</v>
      </c>
      <c r="C29" s="2" t="s">
        <v>112</v>
      </c>
      <c r="D29" s="3" t="s">
        <v>50</v>
      </c>
      <c r="E29" s="3" t="s">
        <v>14</v>
      </c>
      <c r="F29" s="4" t="s">
        <v>51</v>
      </c>
      <c r="G29" s="2" t="s">
        <v>16</v>
      </c>
      <c r="H29" s="5" t="s">
        <v>16</v>
      </c>
      <c r="I29" s="6"/>
      <c r="J29" s="2" t="s">
        <v>113</v>
      </c>
    </row>
    <row r="30" spans="1:10" x14ac:dyDescent="0.25">
      <c r="A30" s="2" t="s">
        <v>104</v>
      </c>
      <c r="B30" s="3" t="s">
        <v>114</v>
      </c>
      <c r="C30" s="2" t="s">
        <v>115</v>
      </c>
      <c r="D30" s="3" t="s">
        <v>28</v>
      </c>
      <c r="E30" s="3" t="s">
        <v>14</v>
      </c>
      <c r="F30" s="4" t="s">
        <v>51</v>
      </c>
      <c r="G30" s="2" t="s">
        <v>16</v>
      </c>
      <c r="H30" s="5" t="s">
        <v>16</v>
      </c>
      <c r="I30" s="6"/>
      <c r="J30" s="2" t="s">
        <v>16</v>
      </c>
    </row>
    <row r="31" spans="1:10" x14ac:dyDescent="0.25">
      <c r="A31" s="2" t="s">
        <v>104</v>
      </c>
      <c r="B31" s="3" t="s">
        <v>116</v>
      </c>
      <c r="C31" s="2" t="s">
        <v>117</v>
      </c>
      <c r="D31" s="3" t="s">
        <v>65</v>
      </c>
      <c r="E31" s="3" t="s">
        <v>14</v>
      </c>
      <c r="F31" s="4" t="s">
        <v>51</v>
      </c>
      <c r="G31" s="2" t="s">
        <v>118</v>
      </c>
      <c r="H31" s="5" t="s">
        <v>16</v>
      </c>
      <c r="I31" s="6"/>
      <c r="J31" s="2" t="s">
        <v>119</v>
      </c>
    </row>
    <row r="32" spans="1:10" x14ac:dyDescent="0.25">
      <c r="A32" s="2" t="s">
        <v>104</v>
      </c>
      <c r="B32" s="3" t="s">
        <v>120</v>
      </c>
      <c r="C32" s="2" t="s">
        <v>121</v>
      </c>
      <c r="D32" s="3" t="s">
        <v>65</v>
      </c>
      <c r="E32" s="3" t="s">
        <v>14</v>
      </c>
      <c r="F32" s="4" t="s">
        <v>51</v>
      </c>
      <c r="G32" s="2" t="s">
        <v>122</v>
      </c>
      <c r="H32" s="5" t="s">
        <v>16</v>
      </c>
      <c r="I32" s="6"/>
      <c r="J32" s="2" t="s">
        <v>16</v>
      </c>
    </row>
    <row r="33" spans="1:10" x14ac:dyDescent="0.25">
      <c r="A33" s="2" t="s">
        <v>104</v>
      </c>
      <c r="B33" s="3" t="s">
        <v>123</v>
      </c>
      <c r="C33" s="2" t="s">
        <v>124</v>
      </c>
      <c r="D33" s="3" t="s">
        <v>65</v>
      </c>
      <c r="E33" s="3" t="s">
        <v>35</v>
      </c>
      <c r="F33" s="4" t="s">
        <v>51</v>
      </c>
      <c r="G33" s="2" t="s">
        <v>125</v>
      </c>
      <c r="H33" s="5" t="s">
        <v>16</v>
      </c>
      <c r="I33" s="6"/>
      <c r="J33" s="2" t="s">
        <v>16</v>
      </c>
    </row>
    <row r="34" spans="1:10" x14ac:dyDescent="0.25">
      <c r="A34" s="2" t="s">
        <v>104</v>
      </c>
      <c r="B34" s="3" t="s">
        <v>126</v>
      </c>
      <c r="C34" s="2" t="s">
        <v>127</v>
      </c>
      <c r="D34" s="3" t="s">
        <v>65</v>
      </c>
      <c r="E34" s="3" t="s">
        <v>14</v>
      </c>
      <c r="F34" s="4" t="s">
        <v>15</v>
      </c>
      <c r="G34" s="2" t="s">
        <v>16</v>
      </c>
      <c r="H34" s="5" t="s">
        <v>16</v>
      </c>
      <c r="I34" s="6"/>
      <c r="J34" s="2" t="s">
        <v>128</v>
      </c>
    </row>
    <row r="35" spans="1:10" x14ac:dyDescent="0.25">
      <c r="A35" s="2" t="s">
        <v>104</v>
      </c>
      <c r="B35" s="3" t="s">
        <v>129</v>
      </c>
      <c r="C35" s="2" t="s">
        <v>130</v>
      </c>
      <c r="D35" s="3" t="s">
        <v>65</v>
      </c>
      <c r="E35" s="3" t="s">
        <v>35</v>
      </c>
      <c r="F35" s="4" t="s">
        <v>51</v>
      </c>
      <c r="G35" s="2" t="s">
        <v>114</v>
      </c>
      <c r="H35" s="5" t="s">
        <v>16</v>
      </c>
      <c r="I35" s="6"/>
      <c r="J35" s="2" t="s">
        <v>131</v>
      </c>
    </row>
    <row r="36" spans="1:10" x14ac:dyDescent="0.25">
      <c r="A36" s="2" t="s">
        <v>132</v>
      </c>
      <c r="B36" s="3" t="s">
        <v>133</v>
      </c>
      <c r="C36" s="2" t="s">
        <v>134</v>
      </c>
      <c r="D36" s="3" t="s">
        <v>65</v>
      </c>
      <c r="E36" s="3" t="s">
        <v>14</v>
      </c>
      <c r="F36" s="4" t="s">
        <v>39</v>
      </c>
      <c r="G36" s="2" t="s">
        <v>16</v>
      </c>
      <c r="H36" s="5" t="s">
        <v>16</v>
      </c>
      <c r="I36" s="6"/>
      <c r="J36" s="2" t="s">
        <v>135</v>
      </c>
    </row>
    <row r="37" spans="1:10" x14ac:dyDescent="0.25">
      <c r="A37" s="2" t="s">
        <v>132</v>
      </c>
      <c r="B37" s="3" t="s">
        <v>136</v>
      </c>
      <c r="C37" s="2" t="s">
        <v>137</v>
      </c>
      <c r="D37" s="3" t="s">
        <v>65</v>
      </c>
      <c r="E37" s="3" t="s">
        <v>14</v>
      </c>
      <c r="F37" s="4" t="s">
        <v>51</v>
      </c>
      <c r="G37" s="2" t="s">
        <v>138</v>
      </c>
      <c r="H37" s="5" t="s">
        <v>16</v>
      </c>
      <c r="I37" s="6"/>
      <c r="J37" s="2" t="s">
        <v>16</v>
      </c>
    </row>
    <row r="38" spans="1:10" x14ac:dyDescent="0.25">
      <c r="A38" s="2" t="s">
        <v>132</v>
      </c>
      <c r="B38" s="3" t="s">
        <v>139</v>
      </c>
      <c r="C38" s="2" t="s">
        <v>140</v>
      </c>
      <c r="D38" s="3" t="s">
        <v>65</v>
      </c>
      <c r="E38" s="3" t="s">
        <v>35</v>
      </c>
      <c r="F38" s="4" t="s">
        <v>51</v>
      </c>
      <c r="G38" s="2" t="s">
        <v>138</v>
      </c>
      <c r="H38" s="5" t="s">
        <v>16</v>
      </c>
      <c r="I38" s="6"/>
      <c r="J38" s="2" t="s">
        <v>16</v>
      </c>
    </row>
    <row r="39" spans="1:10" x14ac:dyDescent="0.25">
      <c r="A39" s="2" t="s">
        <v>132</v>
      </c>
      <c r="B39" s="3" t="s">
        <v>141</v>
      </c>
      <c r="C39" s="2" t="s">
        <v>142</v>
      </c>
      <c r="D39" s="3" t="s">
        <v>65</v>
      </c>
      <c r="E39" s="3" t="s">
        <v>35</v>
      </c>
      <c r="F39" s="4" t="s">
        <v>51</v>
      </c>
      <c r="G39" s="2" t="s">
        <v>138</v>
      </c>
      <c r="H39" s="5" t="s">
        <v>16</v>
      </c>
      <c r="I39" s="6"/>
      <c r="J39" s="2" t="s">
        <v>16</v>
      </c>
    </row>
    <row r="40" spans="1:10" x14ac:dyDescent="0.25">
      <c r="A40" s="2" t="s">
        <v>132</v>
      </c>
      <c r="B40" s="3" t="s">
        <v>143</v>
      </c>
      <c r="C40" s="2" t="s">
        <v>144</v>
      </c>
      <c r="D40" s="3" t="s">
        <v>65</v>
      </c>
      <c r="E40" s="3" t="s">
        <v>35</v>
      </c>
      <c r="F40" s="4" t="s">
        <v>15</v>
      </c>
      <c r="G40" s="2" t="s">
        <v>16</v>
      </c>
      <c r="H40" s="5" t="s">
        <v>16</v>
      </c>
      <c r="I40" s="6"/>
      <c r="J40" s="2" t="s">
        <v>145</v>
      </c>
    </row>
    <row r="41" spans="1:10" x14ac:dyDescent="0.25">
      <c r="A41" s="2" t="s">
        <v>132</v>
      </c>
      <c r="B41" s="3" t="s">
        <v>146</v>
      </c>
      <c r="C41" s="2" t="s">
        <v>147</v>
      </c>
      <c r="D41" s="3" t="s">
        <v>65</v>
      </c>
      <c r="E41" s="3" t="s">
        <v>35</v>
      </c>
      <c r="F41" s="4" t="s">
        <v>39</v>
      </c>
      <c r="G41" s="2" t="s">
        <v>148</v>
      </c>
      <c r="H41" s="5" t="s">
        <v>16</v>
      </c>
      <c r="I41" s="6"/>
      <c r="J41" s="2" t="s">
        <v>149</v>
      </c>
    </row>
    <row r="42" spans="1:10" x14ac:dyDescent="0.25">
      <c r="A42" s="2" t="s">
        <v>132</v>
      </c>
      <c r="B42" s="3" t="s">
        <v>150</v>
      </c>
      <c r="C42" s="2" t="s">
        <v>151</v>
      </c>
      <c r="D42" s="3" t="s">
        <v>65</v>
      </c>
      <c r="E42" s="3" t="s">
        <v>69</v>
      </c>
      <c r="F42" s="4" t="s">
        <v>51</v>
      </c>
      <c r="G42" s="2" t="s">
        <v>16</v>
      </c>
      <c r="H42" s="5" t="s">
        <v>16</v>
      </c>
      <c r="I42" s="6"/>
      <c r="J42" s="2" t="s">
        <v>16</v>
      </c>
    </row>
    <row r="43" spans="1:10" x14ac:dyDescent="0.25">
      <c r="A43" s="2" t="s">
        <v>132</v>
      </c>
      <c r="B43" s="3" t="s">
        <v>152</v>
      </c>
      <c r="C43" s="2" t="s">
        <v>153</v>
      </c>
      <c r="D43" s="3" t="s">
        <v>20</v>
      </c>
      <c r="E43" s="3" t="s">
        <v>35</v>
      </c>
      <c r="F43" s="4" t="s">
        <v>51</v>
      </c>
      <c r="G43" s="2" t="s">
        <v>16</v>
      </c>
      <c r="H43" s="5" t="s">
        <v>16</v>
      </c>
      <c r="I43" s="6"/>
      <c r="J43" s="2" t="s">
        <v>154</v>
      </c>
    </row>
    <row r="44" spans="1:10" x14ac:dyDescent="0.25">
      <c r="A44" s="2" t="s">
        <v>132</v>
      </c>
      <c r="B44" s="3" t="s">
        <v>155</v>
      </c>
      <c r="C44" s="2" t="s">
        <v>156</v>
      </c>
      <c r="D44" s="3" t="s">
        <v>20</v>
      </c>
      <c r="E44" s="3" t="s">
        <v>35</v>
      </c>
      <c r="F44" s="4" t="s">
        <v>15</v>
      </c>
      <c r="G44" s="2" t="s">
        <v>16</v>
      </c>
      <c r="H44" s="5" t="s">
        <v>16</v>
      </c>
      <c r="I44" s="6"/>
      <c r="J44" s="2" t="s">
        <v>157</v>
      </c>
    </row>
    <row r="45" spans="1:10" x14ac:dyDescent="0.25">
      <c r="A45" s="2" t="s">
        <v>132</v>
      </c>
      <c r="B45" s="3" t="s">
        <v>158</v>
      </c>
      <c r="C45" s="2" t="s">
        <v>159</v>
      </c>
      <c r="D45" s="3" t="s">
        <v>65</v>
      </c>
      <c r="E45" s="3" t="s">
        <v>35</v>
      </c>
      <c r="F45" s="4" t="s">
        <v>15</v>
      </c>
      <c r="G45" s="2" t="s">
        <v>16</v>
      </c>
      <c r="H45" s="5" t="s">
        <v>16</v>
      </c>
      <c r="I45" s="6"/>
      <c r="J45" s="2" t="s">
        <v>160</v>
      </c>
    </row>
    <row r="46" spans="1:10" x14ac:dyDescent="0.25">
      <c r="A46" s="2" t="s">
        <v>132</v>
      </c>
      <c r="B46" s="3" t="s">
        <v>161</v>
      </c>
      <c r="C46" s="2" t="s">
        <v>162</v>
      </c>
      <c r="D46" s="3" t="s">
        <v>65</v>
      </c>
      <c r="E46" s="3" t="s">
        <v>69</v>
      </c>
      <c r="F46" s="4" t="s">
        <v>51</v>
      </c>
      <c r="G46" s="2" t="s">
        <v>16</v>
      </c>
      <c r="H46" s="5" t="s">
        <v>16</v>
      </c>
      <c r="I46" s="6"/>
      <c r="J46" s="2" t="s">
        <v>16</v>
      </c>
    </row>
    <row r="47" spans="1:10" x14ac:dyDescent="0.25">
      <c r="A47" s="2" t="s">
        <v>163</v>
      </c>
      <c r="B47" s="3" t="s">
        <v>164</v>
      </c>
      <c r="C47" s="2" t="s">
        <v>165</v>
      </c>
      <c r="D47" s="3" t="s">
        <v>65</v>
      </c>
      <c r="E47" s="3" t="s">
        <v>14</v>
      </c>
      <c r="F47" s="4" t="s">
        <v>51</v>
      </c>
      <c r="G47" s="2" t="s">
        <v>166</v>
      </c>
      <c r="H47" s="5" t="s">
        <v>16</v>
      </c>
      <c r="I47" s="6"/>
      <c r="J47" s="2" t="s">
        <v>16</v>
      </c>
    </row>
    <row r="48" spans="1:10" x14ac:dyDescent="0.25">
      <c r="A48" s="2" t="s">
        <v>163</v>
      </c>
      <c r="B48" s="3" t="s">
        <v>167</v>
      </c>
      <c r="C48" s="2" t="s">
        <v>168</v>
      </c>
      <c r="D48" s="3" t="s">
        <v>28</v>
      </c>
      <c r="E48" s="3" t="s">
        <v>14</v>
      </c>
      <c r="F48" s="4" t="s">
        <v>51</v>
      </c>
      <c r="G48" s="2" t="s">
        <v>166</v>
      </c>
      <c r="H48" s="5" t="s">
        <v>16</v>
      </c>
      <c r="I48" s="6"/>
      <c r="J48" s="2" t="s">
        <v>16</v>
      </c>
    </row>
    <row r="49" spans="1:10" x14ac:dyDescent="0.25">
      <c r="A49" s="2" t="s">
        <v>163</v>
      </c>
      <c r="B49" s="3" t="s">
        <v>169</v>
      </c>
      <c r="C49" s="2" t="s">
        <v>170</v>
      </c>
      <c r="D49" s="3" t="s">
        <v>13</v>
      </c>
      <c r="E49" s="3" t="s">
        <v>14</v>
      </c>
      <c r="F49" s="4" t="s">
        <v>51</v>
      </c>
      <c r="G49" s="2" t="s">
        <v>171</v>
      </c>
      <c r="H49" s="5" t="s">
        <v>16</v>
      </c>
      <c r="I49" s="6"/>
      <c r="J49" s="2" t="s">
        <v>172</v>
      </c>
    </row>
    <row r="50" spans="1:10" x14ac:dyDescent="0.25">
      <c r="A50" s="2" t="s">
        <v>163</v>
      </c>
      <c r="B50" s="3" t="s">
        <v>173</v>
      </c>
      <c r="C50" s="2" t="s">
        <v>174</v>
      </c>
      <c r="D50" s="3" t="s">
        <v>65</v>
      </c>
      <c r="E50" s="3" t="s">
        <v>14</v>
      </c>
      <c r="F50" s="4" t="s">
        <v>51</v>
      </c>
      <c r="G50" s="2" t="s">
        <v>175</v>
      </c>
      <c r="H50" s="5" t="s">
        <v>16</v>
      </c>
      <c r="I50" s="6"/>
      <c r="J50" s="2" t="s">
        <v>16</v>
      </c>
    </row>
    <row r="51" spans="1:10" x14ac:dyDescent="0.25">
      <c r="A51" s="2" t="s">
        <v>163</v>
      </c>
      <c r="B51" s="3" t="s">
        <v>176</v>
      </c>
      <c r="C51" s="2" t="s">
        <v>177</v>
      </c>
      <c r="D51" s="3" t="s">
        <v>20</v>
      </c>
      <c r="E51" s="3" t="s">
        <v>35</v>
      </c>
      <c r="F51" s="4" t="s">
        <v>39</v>
      </c>
      <c r="G51" s="2" t="s">
        <v>16</v>
      </c>
      <c r="H51" s="5" t="s">
        <v>16</v>
      </c>
      <c r="I51" s="6"/>
      <c r="J51" s="2" t="s">
        <v>178</v>
      </c>
    </row>
    <row r="52" spans="1:10" x14ac:dyDescent="0.25">
      <c r="A52" s="2" t="s">
        <v>163</v>
      </c>
      <c r="B52" s="3" t="s">
        <v>179</v>
      </c>
      <c r="C52" s="2" t="s">
        <v>180</v>
      </c>
      <c r="D52" s="3" t="s">
        <v>65</v>
      </c>
      <c r="E52" s="3" t="s">
        <v>69</v>
      </c>
      <c r="F52" s="4" t="s">
        <v>51</v>
      </c>
      <c r="G52" s="2" t="s">
        <v>181</v>
      </c>
      <c r="H52" s="5" t="s">
        <v>16</v>
      </c>
      <c r="I52" s="6"/>
      <c r="J52" s="2" t="s">
        <v>16</v>
      </c>
    </row>
    <row r="53" spans="1:10" x14ac:dyDescent="0.25">
      <c r="A53" s="2" t="s">
        <v>182</v>
      </c>
      <c r="B53" s="3" t="s">
        <v>183</v>
      </c>
      <c r="C53" s="2" t="s">
        <v>184</v>
      </c>
      <c r="D53" s="3" t="s">
        <v>20</v>
      </c>
      <c r="E53" s="3" t="s">
        <v>14</v>
      </c>
      <c r="F53" s="4" t="s">
        <v>15</v>
      </c>
      <c r="G53" s="2" t="s">
        <v>16</v>
      </c>
      <c r="H53" s="5" t="s">
        <v>16</v>
      </c>
      <c r="I53" s="6"/>
      <c r="J53" s="2" t="s">
        <v>185</v>
      </c>
    </row>
    <row r="54" spans="1:10" x14ac:dyDescent="0.25">
      <c r="A54" s="2" t="s">
        <v>182</v>
      </c>
      <c r="B54" s="3" t="s">
        <v>186</v>
      </c>
      <c r="C54" s="2" t="s">
        <v>187</v>
      </c>
      <c r="D54" s="3" t="s">
        <v>20</v>
      </c>
      <c r="E54" s="3" t="s">
        <v>14</v>
      </c>
      <c r="F54" s="4" t="s">
        <v>15</v>
      </c>
      <c r="G54" s="2" t="s">
        <v>16</v>
      </c>
      <c r="H54" s="5" t="s">
        <v>16</v>
      </c>
      <c r="I54" s="6"/>
      <c r="J54" s="2" t="s">
        <v>188</v>
      </c>
    </row>
    <row r="55" spans="1:10" x14ac:dyDescent="0.25">
      <c r="A55" s="2" t="s">
        <v>182</v>
      </c>
      <c r="B55" s="3" t="s">
        <v>189</v>
      </c>
      <c r="C55" s="2" t="s">
        <v>190</v>
      </c>
      <c r="D55" s="3" t="s">
        <v>20</v>
      </c>
      <c r="E55" s="3" t="s">
        <v>35</v>
      </c>
      <c r="F55" s="4" t="s">
        <v>15</v>
      </c>
      <c r="G55" s="2" t="s">
        <v>16</v>
      </c>
      <c r="H55" s="5" t="s">
        <v>16</v>
      </c>
      <c r="I55" s="6"/>
      <c r="J55" s="2" t="s">
        <v>191</v>
      </c>
    </row>
    <row r="56" spans="1:10" x14ac:dyDescent="0.25">
      <c r="A56" s="2" t="s">
        <v>182</v>
      </c>
      <c r="B56" s="3" t="s">
        <v>192</v>
      </c>
      <c r="C56" s="2" t="s">
        <v>193</v>
      </c>
      <c r="D56" s="3" t="s">
        <v>43</v>
      </c>
      <c r="E56" s="3" t="s">
        <v>14</v>
      </c>
      <c r="F56" s="4" t="s">
        <v>15</v>
      </c>
      <c r="G56" s="2" t="s">
        <v>16</v>
      </c>
      <c r="H56" s="5" t="s">
        <v>16</v>
      </c>
      <c r="I56" s="6"/>
      <c r="J56" s="2" t="s">
        <v>194</v>
      </c>
    </row>
    <row r="57" spans="1:10" x14ac:dyDescent="0.25">
      <c r="A57" s="2" t="s">
        <v>182</v>
      </c>
      <c r="B57" s="3" t="s">
        <v>195</v>
      </c>
      <c r="C57" s="2" t="s">
        <v>196</v>
      </c>
      <c r="D57" s="3" t="s">
        <v>13</v>
      </c>
      <c r="E57" s="3" t="s">
        <v>35</v>
      </c>
      <c r="F57" s="4" t="s">
        <v>51</v>
      </c>
      <c r="G57" s="2" t="s">
        <v>16</v>
      </c>
      <c r="H57" s="5" t="s">
        <v>16</v>
      </c>
      <c r="I57" s="6"/>
      <c r="J57" s="2" t="s">
        <v>16</v>
      </c>
    </row>
    <row r="58" spans="1:10" x14ac:dyDescent="0.25">
      <c r="A58" s="2" t="s">
        <v>182</v>
      </c>
      <c r="B58" s="3" t="s">
        <v>197</v>
      </c>
      <c r="C58" s="2" t="s">
        <v>198</v>
      </c>
      <c r="D58" s="3" t="s">
        <v>13</v>
      </c>
      <c r="E58" s="3" t="s">
        <v>35</v>
      </c>
      <c r="F58" s="4" t="s">
        <v>39</v>
      </c>
      <c r="G58" s="2" t="s">
        <v>16</v>
      </c>
      <c r="H58" s="5" t="s">
        <v>16</v>
      </c>
      <c r="I58" s="6"/>
      <c r="J58" s="2" t="s">
        <v>199</v>
      </c>
    </row>
    <row r="59" spans="1:10" x14ac:dyDescent="0.25">
      <c r="A59" s="2" t="s">
        <v>182</v>
      </c>
      <c r="B59" s="3" t="s">
        <v>200</v>
      </c>
      <c r="C59" s="2" t="s">
        <v>201</v>
      </c>
      <c r="D59" s="3" t="s">
        <v>43</v>
      </c>
      <c r="E59" s="3" t="s">
        <v>69</v>
      </c>
      <c r="F59" s="4" t="s">
        <v>39</v>
      </c>
      <c r="G59" s="2" t="s">
        <v>16</v>
      </c>
      <c r="H59" s="5" t="s">
        <v>16</v>
      </c>
      <c r="I59" s="6"/>
      <c r="J59" s="2" t="s">
        <v>202</v>
      </c>
    </row>
    <row r="60" spans="1:10" x14ac:dyDescent="0.25">
      <c r="A60" s="2" t="s">
        <v>182</v>
      </c>
      <c r="B60" s="3" t="s">
        <v>203</v>
      </c>
      <c r="C60" s="2" t="s">
        <v>204</v>
      </c>
      <c r="D60" s="3" t="s">
        <v>65</v>
      </c>
      <c r="E60" s="3" t="s">
        <v>35</v>
      </c>
      <c r="F60" s="4" t="s">
        <v>39</v>
      </c>
      <c r="G60" s="2" t="s">
        <v>205</v>
      </c>
      <c r="H60" s="5" t="s">
        <v>16</v>
      </c>
      <c r="I60" s="6"/>
      <c r="J60" s="2" t="s">
        <v>206</v>
      </c>
    </row>
    <row r="61" spans="1:10" x14ac:dyDescent="0.25">
      <c r="A61" s="2" t="s">
        <v>182</v>
      </c>
      <c r="B61" s="3" t="s">
        <v>207</v>
      </c>
      <c r="C61" s="2" t="s">
        <v>208</v>
      </c>
      <c r="D61" s="3" t="s">
        <v>20</v>
      </c>
      <c r="E61" s="3" t="s">
        <v>14</v>
      </c>
      <c r="F61" s="4" t="s">
        <v>15</v>
      </c>
      <c r="G61" s="2" t="s">
        <v>16</v>
      </c>
      <c r="H61" s="5" t="s">
        <v>16</v>
      </c>
      <c r="I61" s="6"/>
      <c r="J61" s="2" t="s">
        <v>209</v>
      </c>
    </row>
    <row r="62" spans="1:10" x14ac:dyDescent="0.25">
      <c r="A62" s="2" t="s">
        <v>182</v>
      </c>
      <c r="B62" s="3" t="s">
        <v>210</v>
      </c>
      <c r="C62" s="2" t="s">
        <v>211</v>
      </c>
      <c r="D62" s="3" t="s">
        <v>65</v>
      </c>
      <c r="E62" s="3" t="s">
        <v>69</v>
      </c>
      <c r="F62" s="4" t="s">
        <v>21</v>
      </c>
      <c r="G62" s="2" t="s">
        <v>16</v>
      </c>
      <c r="H62" s="5" t="s">
        <v>16</v>
      </c>
      <c r="I62" s="6"/>
      <c r="J62" s="2" t="s">
        <v>212</v>
      </c>
    </row>
    <row r="63" spans="1:10" x14ac:dyDescent="0.25">
      <c r="A63" s="2" t="s">
        <v>182</v>
      </c>
      <c r="B63" s="3" t="s">
        <v>213</v>
      </c>
      <c r="C63" s="2" t="s">
        <v>214</v>
      </c>
      <c r="D63" s="3" t="s">
        <v>20</v>
      </c>
      <c r="E63" s="3" t="s">
        <v>14</v>
      </c>
      <c r="F63" s="4" t="s">
        <v>21</v>
      </c>
      <c r="G63" s="2" t="s">
        <v>16</v>
      </c>
      <c r="H63" s="5" t="s">
        <v>16</v>
      </c>
      <c r="I63" s="6"/>
      <c r="J63" s="2" t="s">
        <v>215</v>
      </c>
    </row>
    <row r="64" spans="1:10" x14ac:dyDescent="0.25">
      <c r="A64" s="2" t="s">
        <v>182</v>
      </c>
      <c r="B64" s="3" t="s">
        <v>216</v>
      </c>
      <c r="C64" s="2" t="s">
        <v>217</v>
      </c>
      <c r="D64" s="3" t="s">
        <v>65</v>
      </c>
      <c r="E64" s="3" t="s">
        <v>35</v>
      </c>
      <c r="F64" s="4" t="s">
        <v>51</v>
      </c>
      <c r="G64" s="2" t="s">
        <v>16</v>
      </c>
      <c r="H64" s="5" t="s">
        <v>16</v>
      </c>
      <c r="I64" s="6"/>
      <c r="J64" s="2" t="s">
        <v>218</v>
      </c>
    </row>
    <row r="65" spans="1:10" x14ac:dyDescent="0.25">
      <c r="A65" s="2" t="s">
        <v>182</v>
      </c>
      <c r="B65" s="3" t="s">
        <v>219</v>
      </c>
      <c r="C65" s="2" t="s">
        <v>220</v>
      </c>
      <c r="D65" s="3" t="s">
        <v>20</v>
      </c>
      <c r="E65" s="3" t="s">
        <v>35</v>
      </c>
      <c r="F65" s="4" t="s">
        <v>51</v>
      </c>
      <c r="G65" s="2" t="s">
        <v>152</v>
      </c>
      <c r="H65" s="5" t="s">
        <v>16</v>
      </c>
      <c r="I65" s="6"/>
      <c r="J65" s="2" t="s">
        <v>221</v>
      </c>
    </row>
    <row r="66" spans="1:10" x14ac:dyDescent="0.25">
      <c r="A66" s="2" t="s">
        <v>182</v>
      </c>
      <c r="B66" s="3" t="s">
        <v>222</v>
      </c>
      <c r="C66" s="2" t="s">
        <v>223</v>
      </c>
      <c r="D66" s="3" t="s">
        <v>13</v>
      </c>
      <c r="E66" s="3" t="s">
        <v>35</v>
      </c>
      <c r="F66" s="4" t="s">
        <v>51</v>
      </c>
      <c r="G66" s="2" t="s">
        <v>16</v>
      </c>
      <c r="H66" s="5" t="s">
        <v>16</v>
      </c>
      <c r="I66" s="6"/>
      <c r="J66" s="2" t="s">
        <v>224</v>
      </c>
    </row>
    <row r="67" spans="1:10" x14ac:dyDescent="0.25">
      <c r="A67" s="2" t="s">
        <v>225</v>
      </c>
      <c r="B67" s="3" t="s">
        <v>226</v>
      </c>
      <c r="C67" s="2" t="s">
        <v>227</v>
      </c>
      <c r="D67" s="3" t="s">
        <v>228</v>
      </c>
      <c r="E67" s="3" t="s">
        <v>14</v>
      </c>
      <c r="F67" s="4" t="s">
        <v>15</v>
      </c>
      <c r="G67" s="2" t="s">
        <v>16</v>
      </c>
      <c r="H67" s="5" t="s">
        <v>16</v>
      </c>
      <c r="I67" s="6"/>
      <c r="J67" s="2" t="s">
        <v>229</v>
      </c>
    </row>
    <row r="68" spans="1:10" x14ac:dyDescent="0.25">
      <c r="A68" s="2" t="s">
        <v>225</v>
      </c>
      <c r="B68" s="3" t="s">
        <v>230</v>
      </c>
      <c r="C68" s="2" t="s">
        <v>231</v>
      </c>
      <c r="D68" s="3" t="s">
        <v>228</v>
      </c>
      <c r="E68" s="3" t="s">
        <v>14</v>
      </c>
      <c r="F68" s="4" t="s">
        <v>15</v>
      </c>
      <c r="G68" s="2" t="s">
        <v>16</v>
      </c>
      <c r="H68" s="5" t="s">
        <v>16</v>
      </c>
      <c r="I68" s="6"/>
      <c r="J68" s="2" t="s">
        <v>16</v>
      </c>
    </row>
    <row r="69" spans="1:10" x14ac:dyDescent="0.25">
      <c r="A69" s="2" t="s">
        <v>225</v>
      </c>
      <c r="B69" s="3" t="s">
        <v>232</v>
      </c>
      <c r="C69" s="2" t="s">
        <v>233</v>
      </c>
      <c r="D69" s="3" t="s">
        <v>228</v>
      </c>
      <c r="E69" s="3" t="s">
        <v>14</v>
      </c>
      <c r="F69" s="4" t="s">
        <v>15</v>
      </c>
      <c r="G69" s="2" t="s">
        <v>16</v>
      </c>
      <c r="H69" s="5" t="s">
        <v>16</v>
      </c>
      <c r="I69" s="6"/>
      <c r="J69" s="2" t="s">
        <v>16</v>
      </c>
    </row>
    <row r="70" spans="1:10" x14ac:dyDescent="0.25">
      <c r="A70" s="2" t="s">
        <v>225</v>
      </c>
      <c r="B70" s="3" t="s">
        <v>234</v>
      </c>
      <c r="C70" s="2" t="s">
        <v>235</v>
      </c>
      <c r="D70" s="3" t="s">
        <v>228</v>
      </c>
      <c r="E70" s="3" t="s">
        <v>14</v>
      </c>
      <c r="F70" s="4" t="s">
        <v>15</v>
      </c>
      <c r="G70" s="2" t="s">
        <v>16</v>
      </c>
      <c r="H70" s="5" t="s">
        <v>16</v>
      </c>
      <c r="I70" s="6"/>
      <c r="J70" s="2" t="s">
        <v>16</v>
      </c>
    </row>
    <row r="71" spans="1:10" x14ac:dyDescent="0.25">
      <c r="A71" s="2" t="s">
        <v>225</v>
      </c>
      <c r="B71" s="3" t="s">
        <v>236</v>
      </c>
      <c r="C71" s="2" t="s">
        <v>237</v>
      </c>
      <c r="D71" s="3" t="s">
        <v>228</v>
      </c>
      <c r="E71" s="3" t="s">
        <v>14</v>
      </c>
      <c r="F71" s="4" t="s">
        <v>15</v>
      </c>
      <c r="G71" s="2" t="s">
        <v>16</v>
      </c>
      <c r="H71" s="5" t="s">
        <v>16</v>
      </c>
      <c r="I71" s="6"/>
      <c r="J71" s="2" t="s">
        <v>16</v>
      </c>
    </row>
    <row r="72" spans="1:10" x14ac:dyDescent="0.25">
      <c r="A72" s="2" t="s">
        <v>225</v>
      </c>
      <c r="B72" s="3" t="s">
        <v>238</v>
      </c>
      <c r="C72" s="2" t="s">
        <v>239</v>
      </c>
      <c r="D72" s="3" t="s">
        <v>228</v>
      </c>
      <c r="E72" s="3" t="s">
        <v>14</v>
      </c>
      <c r="F72" s="4" t="s">
        <v>15</v>
      </c>
      <c r="G72" s="2" t="s">
        <v>16</v>
      </c>
      <c r="H72" s="5" t="s">
        <v>16</v>
      </c>
      <c r="I72" s="6"/>
      <c r="J72" s="2" t="s">
        <v>16</v>
      </c>
    </row>
    <row r="73" spans="1:10" x14ac:dyDescent="0.25">
      <c r="A73" s="2" t="s">
        <v>225</v>
      </c>
      <c r="B73" s="3" t="s">
        <v>240</v>
      </c>
      <c r="C73" s="2" t="s">
        <v>241</v>
      </c>
      <c r="D73" s="3" t="s">
        <v>228</v>
      </c>
      <c r="E73" s="3" t="s">
        <v>14</v>
      </c>
      <c r="F73" s="4" t="s">
        <v>15</v>
      </c>
      <c r="G73" s="2" t="s">
        <v>16</v>
      </c>
      <c r="H73" s="5" t="s">
        <v>16</v>
      </c>
      <c r="I73" s="6"/>
      <c r="J73" s="2" t="s">
        <v>242</v>
      </c>
    </row>
    <row r="74" spans="1:10" x14ac:dyDescent="0.25">
      <c r="A74" s="2" t="s">
        <v>225</v>
      </c>
      <c r="B74" s="3" t="s">
        <v>243</v>
      </c>
      <c r="C74" s="2" t="s">
        <v>244</v>
      </c>
      <c r="D74" s="3" t="s">
        <v>228</v>
      </c>
      <c r="E74" s="3" t="s">
        <v>14</v>
      </c>
      <c r="F74" s="4" t="s">
        <v>15</v>
      </c>
      <c r="G74" s="2" t="s">
        <v>16</v>
      </c>
      <c r="H74" s="5" t="s">
        <v>16</v>
      </c>
      <c r="I74" s="6"/>
      <c r="J74" s="2" t="s">
        <v>16</v>
      </c>
    </row>
    <row r="75" spans="1:10" x14ac:dyDescent="0.25">
      <c r="A75" s="2" t="s">
        <v>225</v>
      </c>
      <c r="B75" s="3" t="s">
        <v>245</v>
      </c>
      <c r="C75" s="2" t="s">
        <v>246</v>
      </c>
      <c r="D75" s="3" t="s">
        <v>228</v>
      </c>
      <c r="E75" s="3" t="s">
        <v>14</v>
      </c>
      <c r="F75" s="4" t="s">
        <v>15</v>
      </c>
      <c r="G75" s="2" t="s">
        <v>16</v>
      </c>
      <c r="H75" s="5" t="s">
        <v>16</v>
      </c>
      <c r="I75" s="6"/>
      <c r="J75" s="2" t="s">
        <v>16</v>
      </c>
    </row>
    <row r="76" spans="1:10" x14ac:dyDescent="0.25">
      <c r="A76" s="2" t="s">
        <v>225</v>
      </c>
      <c r="B76" s="3" t="s">
        <v>247</v>
      </c>
      <c r="C76" s="2" t="s">
        <v>248</v>
      </c>
      <c r="D76" s="3" t="s">
        <v>228</v>
      </c>
      <c r="E76" s="3" t="s">
        <v>14</v>
      </c>
      <c r="F76" s="4" t="s">
        <v>15</v>
      </c>
      <c r="G76" s="2" t="s">
        <v>16</v>
      </c>
      <c r="H76" s="5" t="s">
        <v>16</v>
      </c>
      <c r="I76" s="6"/>
      <c r="J76" s="2" t="s">
        <v>249</v>
      </c>
    </row>
    <row r="77" spans="1:10" x14ac:dyDescent="0.25">
      <c r="A77" s="2" t="s">
        <v>225</v>
      </c>
      <c r="B77" s="3" t="s">
        <v>250</v>
      </c>
      <c r="C77" s="2" t="s">
        <v>251</v>
      </c>
      <c r="D77" s="3" t="s">
        <v>228</v>
      </c>
      <c r="E77" s="3" t="s">
        <v>35</v>
      </c>
      <c r="F77" s="4" t="s">
        <v>51</v>
      </c>
      <c r="G77" s="2" t="s">
        <v>16</v>
      </c>
      <c r="H77" s="5" t="s">
        <v>16</v>
      </c>
      <c r="I77" s="6"/>
      <c r="J77" s="2" t="s">
        <v>252</v>
      </c>
    </row>
    <row r="78" spans="1:10" x14ac:dyDescent="0.25">
      <c r="A78" s="2" t="s">
        <v>225</v>
      </c>
      <c r="B78" s="3" t="s">
        <v>253</v>
      </c>
      <c r="C78" s="2" t="s">
        <v>254</v>
      </c>
      <c r="D78" s="3" t="s">
        <v>228</v>
      </c>
      <c r="E78" s="3" t="s">
        <v>35</v>
      </c>
      <c r="F78" s="4" t="s">
        <v>51</v>
      </c>
      <c r="G78" s="2" t="s">
        <v>16</v>
      </c>
      <c r="H78" s="5" t="s">
        <v>16</v>
      </c>
      <c r="I78" s="6"/>
      <c r="J78" s="2" t="s">
        <v>16</v>
      </c>
    </row>
    <row r="80" spans="1:1" x14ac:dyDescent="0.25">
      <c r="A80" s="7" t="s">
        <v>255</v>
      </c>
    </row>
    <row r="81" spans="1:1" x14ac:dyDescent="0.25">
      <c r="A81" s="8" t="s">
        <v>256</v>
      </c>
    </row>
    <row r="82" spans="1:1" x14ac:dyDescent="0.25">
      <c r="A82" s="8" t="s">
        <v>257</v>
      </c>
    </row>
  </sheetData>
  <autoFilter ref="A1:J78"/>
  <conditionalFormatting sqref="F2:F78">
    <cfRule type="cellIs" dxfId="0" priority="1" operator="equal">
      <formula>"انجام شد"</formula>
    </cfRule>
    <cfRule type="cellIs" dxfId="1" priority="2" operator="equal">
      <formula>"در حال انجام"</formula>
    </cfRule>
    <cfRule type="cellIs" dxfId="2" priority="3" operator="equal">
      <formula>"مسدود"</formula>
    </cfRule>
    <cfRule type="cellIs" dxfId="3" priority="4" operator="equal">
      <formula>"به‌تعویق"</formula>
    </cfRule>
  </conditionalFormatting>
  <conditionalFormatting sqref="E2:E78">
    <cfRule type="cellIs" dxfId="4" priority="5" operator="equal">
      <formula>"بالا"</formula>
    </cfRule>
  </conditionalFormatting>
  <dataValidations count="4">
    <dataValidation type="list" sqref="E10:E78">
      <formula1>"بالا,متوسط,پایین"</formula1>
    </dataValidation>
    <dataValidation type="list" sqref="E2:E78">
      <formula1>"بالا,متوسط,پایین"</formula1>
    </dataValidation>
    <dataValidation type="list" sqref="F10:F78">
      <formula1>"انجام نشده,در حال انجام,انجام شد,مسدود,به‌تعویق"</formula1>
    </dataValidation>
    <dataValidation type="list" sqref="F2:F78">
      <formula1>"انجام نشده,در حال انجام,انجام شد,مسدود,به‌تعویق"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rightToLeft="1"/>
  </sheetViews>
  <sheetFormatPr defaultRowHeight="15" outlineLevelRow="0" outlineLevelCol="0" x14ac:dyDescent="55"/>
  <cols>
    <col min="1" max="1" width="30" customWidth="1"/>
    <col min="2" max="3" width="11" customWidth="1"/>
    <col min="4" max="4" width="13" customWidth="1"/>
    <col min="5" max="5" width="10" customWidth="1"/>
    <col min="6" max="6" width="11" customWidth="1"/>
    <col min="7" max="7" width="13" customWidth="1"/>
    <col min="8" max="8" width="14" customWidth="1"/>
  </cols>
  <sheetData>
    <row r="1" ht="24" customHeight="1" spans="1:8" x14ac:dyDescent="0.25">
      <c r="A1" s="1" t="s">
        <v>0</v>
      </c>
      <c r="B1" s="1" t="s">
        <v>258</v>
      </c>
      <c r="C1" s="1" t="s">
        <v>15</v>
      </c>
      <c r="D1" s="1" t="s">
        <v>39</v>
      </c>
      <c r="E1" s="1" t="s">
        <v>259</v>
      </c>
      <c r="F1" s="1" t="s">
        <v>21</v>
      </c>
      <c r="G1" s="1" t="s">
        <v>51</v>
      </c>
      <c r="H1" s="1" t="s">
        <v>260</v>
      </c>
    </row>
    <row r="2" spans="1:8" x14ac:dyDescent="0.25">
      <c r="A2" s="2" t="s">
        <v>10</v>
      </c>
      <c r="B2" s="3">
        <f>COUNTIF('لیست کارها'!$A$2:$A$78,A2)</f>
        <v>13</v>
      </c>
      <c r="C2" s="3">
        <f>COUNTIFS('لیست کارها'!$A$2:$A$78,A2,'لیست کارها'!$F$2:$F$78,"انجام شد")</f>
        <v>7</v>
      </c>
      <c r="D2" s="3">
        <f>COUNTIFS('لیست کارها'!$A$2:$A$78,A2,'لیست کارها'!$F$2:$F$78,"در حال انجام")</f>
        <v>1</v>
      </c>
      <c r="E2" s="3">
        <f>COUNTIFS('لیست کارها'!$A$2:$A$78,A2,'لیست کارها'!$F$2:$F$78,"مسدود")</f>
        <v>0</v>
      </c>
      <c r="F2" s="3">
        <f>COUNTIFS('لیست کارها'!$A$2:$A$78,A2,'لیست کارها'!$F$2:$F$78,"به‌تعویق")</f>
        <v>2</v>
      </c>
      <c r="G2" s="3">
        <f>COUNTIFS('لیست کارها'!$A$2:$A$78,A2,'لیست کارها'!$F$2:$F$78,"انجام نشده")</f>
        <v>3</v>
      </c>
      <c r="H2" s="9">
        <f>IFERROR(C2/B2,0)</f>
        <v>0.5384615384615384</v>
      </c>
    </row>
    <row r="3" spans="1:8" x14ac:dyDescent="0.25">
      <c r="A3" s="2" t="s">
        <v>62</v>
      </c>
      <c r="B3" s="3">
        <f>COUNTIF('لیست کارها'!$A$2:$A$78,A3)</f>
        <v>4</v>
      </c>
      <c r="C3" s="3">
        <f>COUNTIFS('لیست کارها'!$A$2:$A$78,A3,'لیست کارها'!$F$2:$F$78,"انجام شد")</f>
        <v>3</v>
      </c>
      <c r="D3" s="3">
        <f>COUNTIFS('لیست کارها'!$A$2:$A$78,A3,'لیست کارها'!$F$2:$F$78,"در حال انجام")</f>
        <v>0</v>
      </c>
      <c r="E3" s="3">
        <f>COUNTIFS('لیست کارها'!$A$2:$A$78,A3,'لیست کارها'!$F$2:$F$78,"مسدود")</f>
        <v>0</v>
      </c>
      <c r="F3" s="3">
        <f>COUNTIFS('لیست کارها'!$A$2:$A$78,A3,'لیست کارها'!$F$2:$F$78,"به‌تعویق")</f>
        <v>0</v>
      </c>
      <c r="G3" s="3">
        <f>COUNTIFS('لیست کارها'!$A$2:$A$78,A3,'لیست کارها'!$F$2:$F$78,"انجام نشده")</f>
        <v>1</v>
      </c>
      <c r="H3" s="9">
        <f>IFERROR(C3/B3,0)</f>
        <v>0.75</v>
      </c>
    </row>
    <row r="4" spans="1:8" x14ac:dyDescent="0.25">
      <c r="A4" s="2" t="s">
        <v>76</v>
      </c>
      <c r="B4" s="3">
        <f>COUNTIF('لیست کارها'!$A$2:$A$78,A4)</f>
        <v>8</v>
      </c>
      <c r="C4" s="3">
        <f>COUNTIFS('لیست کارها'!$A$2:$A$78,A4,'لیست کارها'!$F$2:$F$78,"انجام شد")</f>
        <v>7</v>
      </c>
      <c r="D4" s="3">
        <f>COUNTIFS('لیست کارها'!$A$2:$A$78,A4,'لیست کارها'!$F$2:$F$78,"در حال انجام")</f>
        <v>0</v>
      </c>
      <c r="E4" s="3">
        <f>COUNTIFS('لیست کارها'!$A$2:$A$78,A4,'لیست کارها'!$F$2:$F$78,"مسدود")</f>
        <v>0</v>
      </c>
      <c r="F4" s="3">
        <f>COUNTIFS('لیست کارها'!$A$2:$A$78,A4,'لیست کارها'!$F$2:$F$78,"به‌تعویق")</f>
        <v>0</v>
      </c>
      <c r="G4" s="3">
        <f>COUNTIFS('لیست کارها'!$A$2:$A$78,A4,'لیست کارها'!$F$2:$F$78,"انجام نشده")</f>
        <v>1</v>
      </c>
      <c r="H4" s="9">
        <f>IFERROR(C4/B4,0)</f>
        <v>0.875</v>
      </c>
    </row>
    <row r="5" spans="1:8" x14ac:dyDescent="0.25">
      <c r="A5" s="2" t="s">
        <v>104</v>
      </c>
      <c r="B5" s="3">
        <f>COUNTIF('لیست کارها'!$A$2:$A$78,A5)</f>
        <v>9</v>
      </c>
      <c r="C5" s="3">
        <f>COUNTIFS('لیست کارها'!$A$2:$A$78,A5,'لیست کارها'!$F$2:$F$78,"انجام شد")</f>
        <v>1</v>
      </c>
      <c r="D5" s="3">
        <f>COUNTIFS('لیست کارها'!$A$2:$A$78,A5,'لیست کارها'!$F$2:$F$78,"در حال انجام")</f>
        <v>0</v>
      </c>
      <c r="E5" s="3">
        <f>COUNTIFS('لیست کارها'!$A$2:$A$78,A5,'لیست کارها'!$F$2:$F$78,"مسدود")</f>
        <v>0</v>
      </c>
      <c r="F5" s="3">
        <f>COUNTIFS('لیست کارها'!$A$2:$A$78,A5,'لیست کارها'!$F$2:$F$78,"به‌تعویق")</f>
        <v>0</v>
      </c>
      <c r="G5" s="3">
        <f>COUNTIFS('لیست کارها'!$A$2:$A$78,A5,'لیست کارها'!$F$2:$F$78,"انجام نشده")</f>
        <v>8</v>
      </c>
      <c r="H5" s="9">
        <f>IFERROR(C5/B5,0)</f>
        <v>0.1111111111111111</v>
      </c>
    </row>
    <row r="6" spans="1:8" x14ac:dyDescent="0.25">
      <c r="A6" s="2" t="s">
        <v>132</v>
      </c>
      <c r="B6" s="3">
        <f>COUNTIF('لیست کارها'!$A$2:$A$78,A6)</f>
        <v>11</v>
      </c>
      <c r="C6" s="3">
        <f>COUNTIFS('لیست کارها'!$A$2:$A$78,A6,'لیست کارها'!$F$2:$F$78,"انجام شد")</f>
        <v>3</v>
      </c>
      <c r="D6" s="3">
        <f>COUNTIFS('لیست کارها'!$A$2:$A$78,A6,'لیست کارها'!$F$2:$F$78,"در حال انجام")</f>
        <v>2</v>
      </c>
      <c r="E6" s="3">
        <f>COUNTIFS('لیست کارها'!$A$2:$A$78,A6,'لیست کارها'!$F$2:$F$78,"مسدود")</f>
        <v>0</v>
      </c>
      <c r="F6" s="3">
        <f>COUNTIFS('لیست کارها'!$A$2:$A$78,A6,'لیست کارها'!$F$2:$F$78,"به‌تعویق")</f>
        <v>0</v>
      </c>
      <c r="G6" s="3">
        <f>COUNTIFS('لیست کارها'!$A$2:$A$78,A6,'لیست کارها'!$F$2:$F$78,"انجام نشده")</f>
        <v>6</v>
      </c>
      <c r="H6" s="9">
        <f>IFERROR(C6/B6,0)</f>
        <v>0.2727272727272727</v>
      </c>
    </row>
    <row r="7" spans="1:8" x14ac:dyDescent="0.25">
      <c r="A7" s="2" t="s">
        <v>163</v>
      </c>
      <c r="B7" s="3">
        <f>COUNTIF('لیست کارها'!$A$2:$A$78,A7)</f>
        <v>6</v>
      </c>
      <c r="C7" s="3">
        <f>COUNTIFS('لیست کارها'!$A$2:$A$78,A7,'لیست کارها'!$F$2:$F$78,"انجام شد")</f>
        <v>0</v>
      </c>
      <c r="D7" s="3">
        <f>COUNTIFS('لیست کارها'!$A$2:$A$78,A7,'لیست کارها'!$F$2:$F$78,"در حال انجام")</f>
        <v>1</v>
      </c>
      <c r="E7" s="3">
        <f>COUNTIFS('لیست کارها'!$A$2:$A$78,A7,'لیست کارها'!$F$2:$F$78,"مسدود")</f>
        <v>0</v>
      </c>
      <c r="F7" s="3">
        <f>COUNTIFS('لیست کارها'!$A$2:$A$78,A7,'لیست کارها'!$F$2:$F$78,"به‌تعویق")</f>
        <v>0</v>
      </c>
      <c r="G7" s="3">
        <f>COUNTIFS('لیست کارها'!$A$2:$A$78,A7,'لیست کارها'!$F$2:$F$78,"انجام نشده")</f>
        <v>5</v>
      </c>
      <c r="H7" s="9">
        <f>IFERROR(C7/B7,0)</f>
        <v>0</v>
      </c>
    </row>
    <row r="8" spans="1:8" x14ac:dyDescent="0.25">
      <c r="A8" s="2" t="s">
        <v>182</v>
      </c>
      <c r="B8" s="3">
        <f>COUNTIF('لیست کارها'!$A$2:$A$78,A8)</f>
        <v>14</v>
      </c>
      <c r="C8" s="3">
        <f>COUNTIFS('لیست کارها'!$A$2:$A$78,A8,'لیست کارها'!$F$2:$F$78,"انجام شد")</f>
        <v>5</v>
      </c>
      <c r="D8" s="3">
        <f>COUNTIFS('لیست کارها'!$A$2:$A$78,A8,'لیست کارها'!$F$2:$F$78,"در حال انجام")</f>
        <v>3</v>
      </c>
      <c r="E8" s="3">
        <f>COUNTIFS('لیست کارها'!$A$2:$A$78,A8,'لیست کارها'!$F$2:$F$78,"مسدود")</f>
        <v>0</v>
      </c>
      <c r="F8" s="3">
        <f>COUNTIFS('لیست کارها'!$A$2:$A$78,A8,'لیست کارها'!$F$2:$F$78,"به‌تعویق")</f>
        <v>2</v>
      </c>
      <c r="G8" s="3">
        <f>COUNTIFS('لیست کارها'!$A$2:$A$78,A8,'لیست کارها'!$F$2:$F$78,"انجام نشده")</f>
        <v>4</v>
      </c>
      <c r="H8" s="9">
        <f>IFERROR(C8/B8,0)</f>
        <v>0.35714285714285715</v>
      </c>
    </row>
    <row r="9" spans="1:8" x14ac:dyDescent="0.25">
      <c r="A9" s="2" t="s">
        <v>225</v>
      </c>
      <c r="B9" s="3">
        <f>COUNTIF('لیست کارها'!$A$2:$A$78,A9)</f>
        <v>12</v>
      </c>
      <c r="C9" s="3">
        <f>COUNTIFS('لیست کارها'!$A$2:$A$78,A9,'لیست کارها'!$F$2:$F$78,"انجام شد")</f>
        <v>10</v>
      </c>
      <c r="D9" s="3">
        <f>COUNTIFS('لیست کارها'!$A$2:$A$78,A9,'لیست کارها'!$F$2:$F$78,"در حال انجام")</f>
        <v>0</v>
      </c>
      <c r="E9" s="3">
        <f>COUNTIFS('لیست کارها'!$A$2:$A$78,A9,'لیست کارها'!$F$2:$F$78,"مسدود")</f>
        <v>0</v>
      </c>
      <c r="F9" s="3">
        <f>COUNTIFS('لیست کارها'!$A$2:$A$78,A9,'لیست کارها'!$F$2:$F$78,"به‌تعویق")</f>
        <v>0</v>
      </c>
      <c r="G9" s="3">
        <f>COUNTIFS('لیست کارها'!$A$2:$A$78,A9,'لیست کارها'!$F$2:$F$78,"انجام نشده")</f>
        <v>2</v>
      </c>
      <c r="H9" s="9">
        <f>IFERROR(C9/B9,0)</f>
        <v>0.8333333333333334</v>
      </c>
    </row>
    <row r="10" spans="1:8" x14ac:dyDescent="0.25">
      <c r="A10" s="10" t="s">
        <v>261</v>
      </c>
      <c r="B10" s="11">
        <f>SUM(B2:B9)</f>
        <v>77</v>
      </c>
      <c r="C10" s="11">
        <f>SUM(C2:C9)</f>
        <v>36</v>
      </c>
      <c r="D10" s="11">
        <f>SUM(D2:D9)</f>
        <v>7</v>
      </c>
      <c r="E10" s="11">
        <f>SUM(E2:E9)</f>
        <v>0</v>
      </c>
      <c r="F10" s="11">
        <f>SUM(F2:F9)</f>
        <v>4</v>
      </c>
      <c r="G10" s="11">
        <f>SUM(G2:G9)</f>
        <v>30</v>
      </c>
      <c r="H10" s="12">
        <f>IFERROR(C10/B10,0)</f>
        <v>0.4675324675324675</v>
      </c>
    </row>
    <row r="12" spans="1:1" x14ac:dyDescent="0.25">
      <c r="A12" s="8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2" customWidth="1"/>
    <col min="3" max="3" width="80" customWidth="1"/>
  </cols>
  <sheetData>
    <row r="1" ht="24" customHeight="1" spans="1:3" x14ac:dyDescent="0.25">
      <c r="A1" s="1" t="s">
        <v>263</v>
      </c>
      <c r="B1" s="1" t="s">
        <v>5</v>
      </c>
      <c r="C1" s="1" t="s">
        <v>264</v>
      </c>
    </row>
    <row r="2" spans="1:3" x14ac:dyDescent="0.25">
      <c r="A2" s="2" t="s">
        <v>265</v>
      </c>
      <c r="B2" s="3" t="s">
        <v>266</v>
      </c>
      <c r="C2" s="2" t="s">
        <v>267</v>
      </c>
    </row>
    <row r="3" spans="1:3" x14ac:dyDescent="0.25">
      <c r="A3" s="2" t="s">
        <v>268</v>
      </c>
      <c r="B3" s="3" t="s">
        <v>266</v>
      </c>
      <c r="C3" s="2" t="s">
        <v>269</v>
      </c>
    </row>
    <row r="4" spans="1:3" x14ac:dyDescent="0.25">
      <c r="A4" s="2" t="s">
        <v>270</v>
      </c>
      <c r="B4" s="3" t="s">
        <v>266</v>
      </c>
      <c r="C4" s="2" t="s">
        <v>271</v>
      </c>
    </row>
    <row r="5" spans="1:3" x14ac:dyDescent="0.25">
      <c r="A5" s="2" t="s">
        <v>272</v>
      </c>
      <c r="B5" s="3" t="s">
        <v>273</v>
      </c>
      <c r="C5" s="2" t="s">
        <v>274</v>
      </c>
    </row>
    <row r="6" spans="1:3" x14ac:dyDescent="0.25">
      <c r="A6" s="2" t="s">
        <v>275</v>
      </c>
      <c r="B6" s="3" t="s">
        <v>273</v>
      </c>
      <c r="C6" s="2" t="s">
        <v>138</v>
      </c>
    </row>
    <row r="7" spans="1:3" x14ac:dyDescent="0.25">
      <c r="A7" s="2" t="s">
        <v>276</v>
      </c>
      <c r="B7" s="3" t="s">
        <v>273</v>
      </c>
      <c r="C7" s="2" t="s">
        <v>277</v>
      </c>
    </row>
    <row r="8" spans="1:3" x14ac:dyDescent="0.25">
      <c r="A8" s="2" t="s">
        <v>278</v>
      </c>
      <c r="B8" s="3" t="s">
        <v>266</v>
      </c>
      <c r="C8" s="2" t="s">
        <v>279</v>
      </c>
    </row>
    <row r="9" spans="1:3" x14ac:dyDescent="0.25">
      <c r="A9" s="2" t="s">
        <v>280</v>
      </c>
      <c r="B9" s="3" t="s">
        <v>266</v>
      </c>
      <c r="C9" s="2" t="s">
        <v>281</v>
      </c>
    </row>
    <row r="10" spans="1:3" x14ac:dyDescent="0.25">
      <c r="A10" s="2" t="s">
        <v>282</v>
      </c>
      <c r="B10" s="3" t="s">
        <v>266</v>
      </c>
      <c r="C10" s="2" t="s">
        <v>283</v>
      </c>
    </row>
    <row r="11" spans="1:3" x14ac:dyDescent="0.25">
      <c r="A11" s="2" t="s">
        <v>284</v>
      </c>
      <c r="B11" s="3" t="s">
        <v>285</v>
      </c>
      <c r="C11" s="2" t="s">
        <v>286</v>
      </c>
    </row>
    <row r="12" spans="1:3" x14ac:dyDescent="0.25">
      <c r="A12" s="2" t="s">
        <v>287</v>
      </c>
      <c r="B12" s="3" t="s">
        <v>266</v>
      </c>
      <c r="C12" s="2" t="s">
        <v>288</v>
      </c>
    </row>
    <row r="13" spans="1:3" x14ac:dyDescent="0.25">
      <c r="A13" s="2" t="s">
        <v>289</v>
      </c>
      <c r="B13" s="3" t="s">
        <v>266</v>
      </c>
      <c r="C13" s="2" t="s">
        <v>290</v>
      </c>
    </row>
    <row r="14" spans="1:3" x14ac:dyDescent="0.25">
      <c r="A14" s="2" t="s">
        <v>291</v>
      </c>
      <c r="B14" s="3" t="s">
        <v>266</v>
      </c>
      <c r="C14" s="2" t="s">
        <v>292</v>
      </c>
    </row>
    <row r="15" spans="1:3" x14ac:dyDescent="0.25">
      <c r="A15" s="2" t="s">
        <v>293</v>
      </c>
      <c r="B15" s="3" t="s">
        <v>285</v>
      </c>
      <c r="C15" s="2" t="s">
        <v>294</v>
      </c>
    </row>
    <row r="16" spans="1:3" x14ac:dyDescent="0.25">
      <c r="A16" s="2" t="s">
        <v>295</v>
      </c>
      <c r="B16" s="3" t="s">
        <v>266</v>
      </c>
      <c r="C16" s="2" t="s">
        <v>296</v>
      </c>
    </row>
  </sheetData>
  <conditionalFormatting sqref="B2:B16">
    <cfRule type="cellIs" dxfId="5" priority="1" operator="equal">
      <formula>"دارد"</formula>
    </cfRule>
    <cfRule type="cellIs" dxfId="6" priority="2" operator="equal">
      <formula>"نسبی"</formula>
    </cfRule>
    <cfRule type="cellIs" dxfId="7" priority="3" operator="equal">
      <formula>"ندارد"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 rightToLeft="1"/>
  </sheetViews>
  <sheetFormatPr defaultRowHeight="15" outlineLevelRow="0" outlineLevelCol="0" x14ac:dyDescent="55"/>
  <cols>
    <col min="1" max="1" width="70" customWidth="1"/>
    <col min="2" max="2" width="34" customWidth="1"/>
    <col min="3" max="3" width="50" customWidth="1"/>
  </cols>
  <sheetData>
    <row r="1" ht="24" customHeight="1" spans="1:3" x14ac:dyDescent="0.25">
      <c r="A1" s="1" t="s">
        <v>297</v>
      </c>
      <c r="B1" s="1" t="s">
        <v>298</v>
      </c>
      <c r="C1" s="1" t="s">
        <v>299</v>
      </c>
    </row>
    <row r="2" spans="1:3" x14ac:dyDescent="0.25">
      <c r="A2" s="2" t="s">
        <v>300</v>
      </c>
      <c r="B2" s="2" t="s">
        <v>301</v>
      </c>
      <c r="C2" s="5" t="s">
        <v>302</v>
      </c>
    </row>
    <row r="3" spans="1:3" x14ac:dyDescent="0.25">
      <c r="A3" s="2" t="s">
        <v>303</v>
      </c>
      <c r="B3" s="2" t="s">
        <v>304</v>
      </c>
      <c r="C3" s="5" t="s">
        <v>305</v>
      </c>
    </row>
    <row r="4" spans="1:3" x14ac:dyDescent="0.25">
      <c r="A4" s="2" t="s">
        <v>306</v>
      </c>
      <c r="B4" s="2" t="s">
        <v>307</v>
      </c>
      <c r="C4" s="5" t="s">
        <v>308</v>
      </c>
    </row>
    <row r="5" spans="1:3" x14ac:dyDescent="0.25">
      <c r="A5" s="2" t="s">
        <v>309</v>
      </c>
      <c r="B5" s="2" t="s">
        <v>310</v>
      </c>
      <c r="C5" s="5" t="s">
        <v>311</v>
      </c>
    </row>
    <row r="6" spans="1:3" x14ac:dyDescent="0.25">
      <c r="A6" s="2" t="s">
        <v>312</v>
      </c>
      <c r="B6" s="2" t="s">
        <v>313</v>
      </c>
      <c r="C6" s="5" t="s">
        <v>314</v>
      </c>
    </row>
    <row r="7" spans="1:3" x14ac:dyDescent="0.25">
      <c r="A7" s="2" t="s">
        <v>315</v>
      </c>
      <c r="B7" s="2" t="s">
        <v>138</v>
      </c>
      <c r="C7" s="5" t="s">
        <v>316</v>
      </c>
    </row>
    <row r="8" spans="1:3" x14ac:dyDescent="0.25">
      <c r="A8" s="2" t="s">
        <v>317</v>
      </c>
      <c r="B8" s="2" t="s">
        <v>318</v>
      </c>
      <c r="C8" s="5" t="s">
        <v>319</v>
      </c>
    </row>
    <row r="9" spans="1:3" x14ac:dyDescent="0.25">
      <c r="A9" s="2" t="s">
        <v>320</v>
      </c>
      <c r="B9" s="2" t="s">
        <v>133</v>
      </c>
      <c r="C9" s="5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لیست کارها</vt:lpstr>
      <vt:lpstr>خلاصه پیشرفت</vt:lpstr>
      <vt:lpstr>وضعیت فعلی</vt:lpstr>
      <vt:lpstr>تصمیمات لازم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OrganizationIntranet</dc:creator>
  <dc:title/>
  <dc:subject/>
  <dc:description/>
  <cp:keywords/>
  <cp:category/>
  <cp:lastModifiedBy>Unknown</cp:lastModifiedBy>
  <dcterms:created xsi:type="dcterms:W3CDTF">2026-10-22T06:36:10Z</dcterms:created>
  <dcterms:modified xsi:type="dcterms:W3CDTF">2026-10-22T06:36:10Z</dcterms:modified>
</cp:coreProperties>
</file>