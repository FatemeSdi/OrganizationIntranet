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<sst xmlns="http://schemas.openxmlformats.org/spreadsheetml/2006/main" count="817" uniqueCount="328">
  <si>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</si>
  <si>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</si>
  <si>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</si>
  <si>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</si>
  <si>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</si>
  <si>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</si>
  <si>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</si>
  <si>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</si>
  <si>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</si>
  <si>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</si>
  <si>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</si>
  <si>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</si>
  <si>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</si>
  <si>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</si>
  <si>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</si>
  <si>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</si>
  <si>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</si>
  <si>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</si>
  <si>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</si>
  <si>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</si>
  <si>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</si>
  <si>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</si>
  <si>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</si>
  <si>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</si>
  <si>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</si>
  <si>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</si>
  <si>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</si>
  <si>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</si>
  <si>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</si>
  <si>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</si>
  <si>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</si>
  <si>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</si>
  <si>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</si>
  <si>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</si>
  <si>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</si>
  <si>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</si>
  <si>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</si>
  <si>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</si>
  <si>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</si>
  <si>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</si>
  <si>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</si>
  <si>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</si>
  <si>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</si>
  <si>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</si>
  <si>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</si>
  <si>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</si>
  <si>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</si>
  <si>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</si>
  <si>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</si>
  <si>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</si>
  <si>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</si>
  <si>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003 up/down/verify از روی دیتابیس مرجع بازسازی شد؛ 004 به database/migrations منتقل شد؛ خط پایه‌ی نصب تازه 000_Baseline.install.sql (حالت بعد از 002، برابر با docs/database-catalog.md). FreshInstallTests روی LocalDB: خط پایه + 003..008 = دیتابیس مرجع (۲۷۳ از ۲۷۳ ردیف ساختار)، بازگشت و نصب دوباره.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</si>
  <si>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</si>
  <si>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</si>
  <si>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</si>
  <si>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</si>
  <si>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</si>
  <si>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انجام نشده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</si>
  <si>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</si>
  <si>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</si>
  <si>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ابزار ساخت اولین مدیر برای نصب تازه (نام کاربری + رمز با PasswordHasher، بدون ثبت رمز در لاگ)</t>
  </si>
  <si>
    <t>نصب تازه کاربری ندارد و verify 008 تا ساخت اولین مدیر خطا می‌دهد؛ database/migrations/README.md</t>
  </si>
  <si>
    <t>P0-14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</si>
  <si>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</si>
  <si>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</si>
  <si>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</si>
  <si>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</si>
  <si>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</si>
  <si>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</si>
  <si>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</si>
  <si>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</si>
  <si>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</si>
  <si>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</si>
  <si>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</si>
  <si>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</si>
  <si>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</si>
  <si>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</si>
  <si>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</si>
  <si>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</si>
  <si>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</si>
  <si>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</si>
  <si>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</si>
  <si>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</si>
  <si>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</si>
  <si>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</si>
  <si>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</si>
  <si>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</si>
  <si>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</si>
  <si>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</si>
  <si>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</si>
  <si>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</si>
  <si>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</si>
  <si>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</si>
  <si>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</si>
  <si>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</si>
  <si>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</si>
  <si>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</si>
  <si>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</si>
  <si>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</si>
  <si>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</si>
  <si>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</si>
  <si>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</si>
  <si>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</si>
  <si>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</si>
  <si>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</si>
  <si>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</si>
  <si>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</si>
  <si>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</si>
  <si>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</si>
  <si>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</si>
  <si>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</si>
  <si>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</si>
  <si>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</si>
  <si>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</si>
  <si>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</si>
  <si>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</si>
  <si>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</si>
  <si>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</si>
  <si>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</si>
  <si>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</si>
  <si>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</si>
  <si>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</si>
  <si>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</si>
  <si>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</si>
  <si>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</si>
  <si>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</si>
  <si>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</si>
  <si>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</si>
  <si>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</si>
  <si>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</si>
  <si>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</si>
  <si>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</si>
  <si>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</si>
  <si>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</si>
  <si>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</si>
  <si>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</si>
  <si>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</si>
  <si>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</si>
  <si>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</si>
  <si>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</si>
  <si>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</si>
  <si>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</si>
  <si>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</si>
  <si>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</si>
  <si>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</si>
  <si>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</si>
  <si>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</si>
  <si>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</si>
  <si>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صفحه‌ی Roles/Edit: ویرایش نام و کد (کد یکتا و با قالب معتبر؛ کد ADMIN و EXPERT ثابت)، اعضا و مجوزهای نقش، شمار کاربران/مجوزها در فهرست، حذف فقط برای نقش استفاده‌نشده. RoleManagementTests.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</si>
  <si>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</si>
  <si>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</si>
  <si>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</si>
  <si>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</si>
  <si>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</si>
  <si>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</si>
  <si>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</si>
  <si>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</si>
  <si>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</si>
  <si>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</si>
  <si>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</si>
  <si>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migration 008_AdminPermissions روی بانک توسعه اعمال و verify شد (backup OrganizationIntranet_before_008_20261021_1628.bak). ۱۲ مجوز پنل در shared/Contracts/AdminPermissions.cs؛ API مجوز را زنده از بانک می‌خواند، UI هر ۵ دقیقه Claimها را تازه می‌کند (Logout/Login لازم نیست). جلوگیری از قفل‌شدن: نقش ADMIN و مجوزهای سیستمی غیرفعال نمی‌شوند و آخرین مدیر فعال حذف نمی‌شود. docs/admin-permissions.md، AdminPermissionTests.</t>
  </si>
  <si>
    <t>P4-10</t>
  </si>
  <si>
    <t>صفحه‌ی اعلان‌ها: صفحه‌بندی سمت سرور (الان ۵۰ اعلان آخر) و فیلتر تاریخ</t>
  </si>
  <si>
    <t>api/portal/notifications/page: UNION ALL دو منبع، صفحه‌بندی ۲۰تایی، تب با شمار، فیلتر منبع و بازه (۲۴ ساعت/۷/۳۰/۹۰ روز)؛ شمار زنگ هدر هم دقیق شد. NotificationCenterTests + آزمون SQL Server.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</si>
  <si>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</si>
  <si>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</si>
  <si>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</si>
  <si>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</si>
  <si>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</si>
  <si>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</si>
  <si>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</si>
  <si>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</si>
  <si>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</si>
  <si>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</si>
  <si>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</si>
  <si>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</si>
  <si>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</si>
  <si>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</si>
  <si>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</si>
  <si>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</si>
  <si>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</si>
  <si>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</si>
  <si>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</si>
  <si>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</si>
  <si>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</si>
  <si>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</si>
  <si>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</si>
  <si>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</si>
  <si>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</si>
  <si>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</si>
  <si>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</si>
  <si>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</si>
  <si>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</si>
  <si>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</si>
  <si>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</si>
  <si>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</si>
  <si>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</si>
  <si>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۱۹۰ تست قبول + ۱۲ تست بانک واقعی/نصب تازه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</si>
  <si>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</si>
  <si>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</si>
  <si>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</si>
  <si>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</si>
  <si>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</si>
  <si>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</si>
  <si>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</si>
  <si>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</si>
  <si>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</si>
  <si>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</si>
  <si>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</si>
  <si>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</si>
  <si>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</si>
  <si>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</si>
  <si>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</si>
  <si>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</si>
  <si>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</si>
  <si>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کاربر فعلاً به Google Authenticator نیاز ندارد و هنوز تصمیم نگرفته که در سامانه بماند.</t>
  </si>
  <si>
    <t>P6-11</t>
  </si>
  <si>
    <t>فعال‌سازی «ورود با کد ملی و پیامک» برای هر کاربر توسط مدیر</t>
  </si>
  <si>
    <t>هنوز بحث نشده؛ شاید همان ورود با نام کاربری و رمز کافی باشد. پیشنهاد اولیه: مدیر در کارتابل برای هر کاربر فعال کند.</t>
  </si>
  <si>
    <t>P6-12</t>
  </si>
  <si>
    <t>صفحه‌های خطای ۴۰۴ و ۵۰۰ هم‌خوان با تم هر دو پرتال</t>
  </si>
  <si>
    <t>صفحه‌ی Error برای ۴۰۳/۴۰۴/۵۰۰ در هر پرتال (بدون وابستگی به API)، UseStatusCodePagesWithReExecute، مسیر AccessDenied هم‌تم. ErrorPagesTests.</t>
  </si>
  <si>
    <t>P6-13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</si>
  <si>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</si>
  <si>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</si>
  <si>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P6-14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</si>
  <si>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</si>
  <si>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</si>
  <si>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</si>
  <si>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</si>
  <si>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</si>
  <si>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</si>
  <si>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</si>
  <si>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</si>
  <si>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</si>
  <si>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</si>
  <si>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</si>
  <si>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</si>
  <si>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</si>
  <si>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</si>
  <si>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</si>
  <si>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</si>
  <si>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</si>
  <si>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</si>
  <si>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</si>
  <si>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</si>
  <si>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</si>
  <si>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</si>
  <si>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</si>
  <si>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</si>
  <si>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</si>
  <si>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نظارت»: صفحه‌ی /Supervision با تب وضعیت، فیلتر سامانه و صفحه‌بندی؛ کارت خلاصه در صفحه‌ی اصلی و منوی حساب برای ناظر</t>
  </si>
  <si>
    <t>فیلتر وضعیت «درخواست‌های من» هم سمت سرور شد</t>
  </si>
  <si>
    <t>P7-11</t>
  </si>
  <si>
    <t>نمایش خطای ورود Portal به‌صورت توست تم پورتال</t>
  </si>
  <si>
    <t>login-form.js اول portalToast را به کار می‌برد؛ پیام خروج هم توست؛ noscript پشتیبان.</t>
  </si>
  <si>
    <t>P7-12</t>
  </si>
  <si>
    <t>رفع اسکرول افقی صفحه‌ی اصلی Portal در موبایل (پنل اعلان و منوی حساب)</t>
  </si>
  <si>
    <t>پنل‌ها در عرض کمتر از ۹۶۰ fixed و وسط صفحه؛ قبلاً ۱۲۵ پیکسل سرریز.</t>
  </si>
  <si>
    <t>P7-13</t>
  </si>
  <si>
    <t>جدول‌های پنل مدیریت در عرض موبایل (کارتی‌شدن ردیف‌ها یا اسکرول افقی بهتر)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</si>
  <si>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</si>
  <si>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</si>
  <si>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</si>
  <si>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</si>
  <si>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</si>
  <si>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</si>
  <si>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</si>
  <si>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</si>
  <si>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</si>
  <si>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</si>
  <si>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</si>
  <si>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</si>
  <si>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</si>
  <si>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</si>
  <si>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</si>
  <si>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</si>
  <si>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</si>
  <si>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</si>
  <si>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</si>
  <si>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</si>
  <si>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</si>
  <si>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</si>
  <si>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</si>
  <si>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</si>
  <si>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</si>
  <si>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</si>
  <si>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</si>
  <si>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</si>
  <si>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</si>
  <si>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</si>
  <si>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</si>
  <si>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</si>
  <si>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</si>
  <si>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ساخت، ویرایش نام/کد، جزئیات اعضا و مجوزها، شمارها، فعال/غیرفعال، حذف نقش استفاده‌نشده</t>
  </si>
  <si>
    <t>Admin: سامانه‌ها</t>
  </si>
  <si>
    <t>ساخت، تنظیمات، دسترسی، سرویس‌ها و گروه نظارت</t>
  </si>
  <si>
    <t>مجوزدهی Permission-based در پنل</t>
  </si>
  <si>
    <t>هر صفحه و endpoint مجوز خودش را دارد؛ منو و دکمه‌ها هم بر اساس مجوز (P4-09، migration 008)</t>
  </si>
  <si>
    <t>دیتابیس: migrationها</t>
  </si>
  <si>
    <t>همه‌ی فایل‌های 001 تا 008 در مخزن‌اند؛ نصب تازه با خط پایه + migrationها آزموده شد. ابزار اولین مدیر باقی است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</si>
  <si>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</si>
  <si>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</si>
  <si>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</si>
  <si>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</si>
  <si>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</si>
  <si>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</si>
  <si>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</si>
  <si>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</si>
  <si>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</si>
  <si>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</si>
  <si>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</si>
  <si>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</si>
  <si>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</si>
  <si>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</si>
  <si>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</si>
  <si>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</si>
  <si>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</si>
  <si>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</si>
  <si>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</si>
  <si>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بعداً در یک فهرست کلی مشخص می‌شود؛ فعلاً به همین صورت آزمایشی بماند.</t>
  </si>
  <si>
    <t>فایل فرم‌ها و پیوست مطالب کجا ذخیره شود (دیسک سرور یا بانک) و سقف حجم؟</t>
  </si>
  <si>
    <t>روی دیسک، در پوشه‌ی Downloads درایو C؛ مسیر در تنظیمات قابل تغییر باشد (برای استقرار روی سرور بازبینی شود).</t>
  </si>
  <si>
    <t>ورود با کد ملی و پیامک یک‌عاملی است؛ برای چه کاربرانی فعال شود؟</t>
  </si>
  <si>
    <t>امنیت ورود</t>
  </si>
  <si>
    <t>به تعویق افتاد؛ هنوز بحث نشده و شاید همان ورود با نام کاربری و رمز کافی باشد.</t>
  </si>
  <si>
    <t>مطالب قدیمی حذف شوند یا بایگانی؟ مدت نگه‌داری؟</t>
  </si>
  <si>
    <t>نیاز به بحث دارد؛ فعلاً سراغ آن نمی‌رویم.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</si>
</sst>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4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15</v>
      </c>
      <c r="G11" s="2" t="s">
        <v>16</v>
      </c>
      <c r="H11" s="5" t="s">
        <v>16</v>
      </c>
      <c r="I11" s="6"/>
      <c r="J11" s="2" t="s">
        <v>51</v>
      </c>
    </row>
    <row r="12" spans="1:10" x14ac:dyDescent="0.25">
      <c r="A12" s="2" t="s">
        <v>10</v>
      </c>
      <c r="B12" s="3" t="s">
        <v>52</v>
      </c>
      <c r="C12" s="2" t="s">
        <v>53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54</v>
      </c>
    </row>
    <row r="13" spans="1:10" x14ac:dyDescent="0.25">
      <c r="A13" s="2" t="s">
        <v>10</v>
      </c>
      <c r="B13" s="3" t="s">
        <v>55</v>
      </c>
      <c r="C13" s="2" t="s">
        <v>56</v>
      </c>
      <c r="D13" s="3" t="s">
        <v>50</v>
      </c>
      <c r="E13" s="3" t="s">
        <v>14</v>
      </c>
      <c r="F13" s="4" t="s">
        <v>57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20</v>
      </c>
      <c r="E14" s="3" t="s">
        <v>14</v>
      </c>
      <c r="F14" s="4" t="s">
        <v>57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10</v>
      </c>
      <c r="B15" s="3" t="s">
        <v>62</v>
      </c>
      <c r="C15" s="2" t="s">
        <v>63</v>
      </c>
      <c r="D15" s="3" t="s">
        <v>13</v>
      </c>
      <c r="E15" s="3" t="s">
        <v>35</v>
      </c>
      <c r="F15" s="4" t="s">
        <v>57</v>
      </c>
      <c r="G15" s="2" t="s">
        <v>16</v>
      </c>
      <c r="H15" s="5" t="s">
        <v>16</v>
      </c>
      <c r="I15" s="6"/>
      <c r="J15" s="2" t="s">
        <v>64</v>
      </c>
    </row>
    <row r="16" spans="1:10" x14ac:dyDescent="0.25">
      <c r="A16" s="2" t="s">
        <v>65</v>
      </c>
      <c r="B16" s="3" t="s">
        <v>66</v>
      </c>
      <c r="C16" s="2" t="s">
        <v>67</v>
      </c>
      <c r="D16" s="3" t="s">
        <v>68</v>
      </c>
      <c r="E16" s="3" t="s">
        <v>14</v>
      </c>
      <c r="F16" s="4" t="s">
        <v>15</v>
      </c>
      <c r="G16" s="2" t="s">
        <v>16</v>
      </c>
      <c r="H16" s="5" t="s">
        <v>16</v>
      </c>
      <c r="I16" s="6"/>
      <c r="J16" s="2" t="s">
        <v>69</v>
      </c>
    </row>
    <row r="17" spans="1:10" x14ac:dyDescent="0.25">
      <c r="A17" s="2" t="s">
        <v>65</v>
      </c>
      <c r="B17" s="3" t="s">
        <v>70</v>
      </c>
      <c r="C17" s="2" t="s">
        <v>71</v>
      </c>
      <c r="D17" s="3" t="s">
        <v>68</v>
      </c>
      <c r="E17" s="3" t="s">
        <v>72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65</v>
      </c>
      <c r="B18" s="3" t="s">
        <v>74</v>
      </c>
      <c r="C18" s="2" t="s">
        <v>75</v>
      </c>
      <c r="D18" s="3" t="s">
        <v>68</v>
      </c>
      <c r="E18" s="3" t="s">
        <v>35</v>
      </c>
      <c r="F18" s="4" t="s">
        <v>15</v>
      </c>
      <c r="G18" s="2" t="s">
        <v>16</v>
      </c>
      <c r="H18" s="5" t="s">
        <v>16</v>
      </c>
      <c r="I18" s="6"/>
      <c r="J18" s="2" t="s">
        <v>76</v>
      </c>
    </row>
    <row r="19" spans="1:10" x14ac:dyDescent="0.25">
      <c r="A19" s="2" t="s">
        <v>65</v>
      </c>
      <c r="B19" s="3" t="s">
        <v>77</v>
      </c>
      <c r="C19" s="2" t="s">
        <v>78</v>
      </c>
      <c r="D19" s="3" t="s">
        <v>43</v>
      </c>
      <c r="E19" s="3" t="s">
        <v>14</v>
      </c>
      <c r="F19" s="4" t="s">
        <v>57</v>
      </c>
      <c r="G19" s="2" t="s">
        <v>16</v>
      </c>
      <c r="H19" s="5" t="s">
        <v>16</v>
      </c>
      <c r="I19" s="6"/>
      <c r="J19" s="2" t="s">
        <v>16</v>
      </c>
    </row>
    <row r="20" spans="1:10" x14ac:dyDescent="0.25">
      <c r="A20" s="2" t="s">
        <v>79</v>
      </c>
      <c r="B20" s="3" t="s">
        <v>80</v>
      </c>
      <c r="C20" s="2" t="s">
        <v>81</v>
      </c>
      <c r="D20" s="3" t="s">
        <v>28</v>
      </c>
      <c r="E20" s="3" t="s">
        <v>14</v>
      </c>
      <c r="F20" s="4" t="s">
        <v>15</v>
      </c>
      <c r="G20" s="2" t="s">
        <v>16</v>
      </c>
      <c r="H20" s="5" t="s">
        <v>16</v>
      </c>
      <c r="I20" s="6"/>
      <c r="J20" s="2" t="s">
        <v>82</v>
      </c>
    </row>
    <row r="21" spans="1:10" x14ac:dyDescent="0.25">
      <c r="A21" s="2" t="s">
        <v>79</v>
      </c>
      <c r="B21" s="3" t="s">
        <v>83</v>
      </c>
      <c r="C21" s="2" t="s">
        <v>84</v>
      </c>
      <c r="D21" s="3" t="s">
        <v>68</v>
      </c>
      <c r="E21" s="3" t="s">
        <v>14</v>
      </c>
      <c r="F21" s="4" t="s">
        <v>15</v>
      </c>
      <c r="G21" s="2" t="s">
        <v>85</v>
      </c>
      <c r="H21" s="5" t="s">
        <v>16</v>
      </c>
      <c r="I21" s="6"/>
      <c r="J21" s="2" t="s">
        <v>86</v>
      </c>
    </row>
    <row r="22" spans="1:10" x14ac:dyDescent="0.25">
      <c r="A22" s="2" t="s">
        <v>79</v>
      </c>
      <c r="B22" s="3" t="s">
        <v>87</v>
      </c>
      <c r="C22" s="2" t="s">
        <v>88</v>
      </c>
      <c r="D22" s="3" t="s">
        <v>68</v>
      </c>
      <c r="E22" s="3" t="s">
        <v>14</v>
      </c>
      <c r="F22" s="4" t="s">
        <v>15</v>
      </c>
      <c r="G22" s="2" t="s">
        <v>89</v>
      </c>
      <c r="H22" s="5" t="s">
        <v>16</v>
      </c>
      <c r="I22" s="6"/>
      <c r="J22" s="2" t="s">
        <v>90</v>
      </c>
    </row>
    <row r="23" spans="1:10" x14ac:dyDescent="0.25">
      <c r="A23" s="2" t="s">
        <v>79</v>
      </c>
      <c r="B23" s="3" t="s">
        <v>91</v>
      </c>
      <c r="C23" s="2" t="s">
        <v>92</v>
      </c>
      <c r="D23" s="3" t="s">
        <v>68</v>
      </c>
      <c r="E23" s="3" t="s">
        <v>35</v>
      </c>
      <c r="F23" s="4" t="s">
        <v>15</v>
      </c>
      <c r="G23" s="2" t="s">
        <v>89</v>
      </c>
      <c r="H23" s="5" t="s">
        <v>16</v>
      </c>
      <c r="I23" s="6"/>
      <c r="J23" s="2" t="s">
        <v>93</v>
      </c>
    </row>
    <row r="24" spans="1:10" x14ac:dyDescent="0.25">
      <c r="A24" s="2" t="s">
        <v>79</v>
      </c>
      <c r="B24" s="3" t="s">
        <v>94</v>
      </c>
      <c r="C24" s="2" t="s">
        <v>95</v>
      </c>
      <c r="D24" s="3" t="s">
        <v>43</v>
      </c>
      <c r="E24" s="3" t="s">
        <v>14</v>
      </c>
      <c r="F24" s="4" t="s">
        <v>15</v>
      </c>
      <c r="G24" s="2" t="s">
        <v>16</v>
      </c>
      <c r="H24" s="5" t="s">
        <v>16</v>
      </c>
      <c r="I24" s="6"/>
      <c r="J24" s="2" t="s">
        <v>96</v>
      </c>
    </row>
    <row r="25" spans="1:10" x14ac:dyDescent="0.25">
      <c r="A25" s="2" t="s">
        <v>79</v>
      </c>
      <c r="B25" s="3" t="s">
        <v>97</v>
      </c>
      <c r="C25" s="2" t="s">
        <v>98</v>
      </c>
      <c r="D25" s="3" t="s">
        <v>50</v>
      </c>
      <c r="E25" s="3" t="s">
        <v>14</v>
      </c>
      <c r="F25" s="4" t="s">
        <v>15</v>
      </c>
      <c r="G25" s="2" t="s">
        <v>99</v>
      </c>
      <c r="H25" s="5" t="s">
        <v>16</v>
      </c>
      <c r="I25" s="6"/>
      <c r="J25" s="2" t="s">
        <v>100</v>
      </c>
    </row>
    <row r="26" spans="1:10" x14ac:dyDescent="0.25">
      <c r="A26" s="2" t="s">
        <v>79</v>
      </c>
      <c r="B26" s="3" t="s">
        <v>101</v>
      </c>
      <c r="C26" s="2" t="s">
        <v>102</v>
      </c>
      <c r="D26" s="3" t="s">
        <v>20</v>
      </c>
      <c r="E26" s="3" t="s">
        <v>14</v>
      </c>
      <c r="F26" s="4" t="s">
        <v>57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79</v>
      </c>
      <c r="B27" s="3" t="s">
        <v>104</v>
      </c>
      <c r="C27" s="2" t="s">
        <v>105</v>
      </c>
      <c r="D27" s="3" t="s">
        <v>13</v>
      </c>
      <c r="E27" s="3" t="s">
        <v>14</v>
      </c>
      <c r="F27" s="4" t="s">
        <v>15</v>
      </c>
      <c r="G27" s="2" t="s">
        <v>16</v>
      </c>
      <c r="H27" s="5" t="s">
        <v>16</v>
      </c>
      <c r="I27" s="6"/>
      <c r="J27" s="2" t="s">
        <v>106</v>
      </c>
    </row>
    <row r="28" spans="1:10" x14ac:dyDescent="0.25">
      <c r="A28" s="2" t="s">
        <v>107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57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107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57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107</v>
      </c>
      <c r="B30" s="3" t="s">
        <v>114</v>
      </c>
      <c r="C30" s="2" t="s">
        <v>115</v>
      </c>
      <c r="D30" s="3" t="s">
        <v>50</v>
      </c>
      <c r="E30" s="3" t="s">
        <v>14</v>
      </c>
      <c r="F30" s="4" t="s">
        <v>57</v>
      </c>
      <c r="G30" s="2" t="s">
        <v>16</v>
      </c>
      <c r="H30" s="5" t="s">
        <v>16</v>
      </c>
      <c r="I30" s="6"/>
      <c r="J30" s="2" t="s">
        <v>116</v>
      </c>
    </row>
    <row r="31" spans="1:10" x14ac:dyDescent="0.25">
      <c r="A31" s="2" t="s">
        <v>107</v>
      </c>
      <c r="B31" s="3" t="s">
        <v>117</v>
      </c>
      <c r="C31" s="2" t="s">
        <v>118</v>
      </c>
      <c r="D31" s="3" t="s">
        <v>28</v>
      </c>
      <c r="E31" s="3" t="s">
        <v>14</v>
      </c>
      <c r="F31" s="4" t="s">
        <v>57</v>
      </c>
      <c r="G31" s="2" t="s">
        <v>16</v>
      </c>
      <c r="H31" s="5" t="s">
        <v>16</v>
      </c>
      <c r="I31" s="6"/>
      <c r="J31" s="2" t="s">
        <v>16</v>
      </c>
    </row>
    <row r="32" spans="1:10" x14ac:dyDescent="0.25">
      <c r="A32" s="2" t="s">
        <v>107</v>
      </c>
      <c r="B32" s="3" t="s">
        <v>119</v>
      </c>
      <c r="C32" s="2" t="s">
        <v>120</v>
      </c>
      <c r="D32" s="3" t="s">
        <v>68</v>
      </c>
      <c r="E32" s="3" t="s">
        <v>14</v>
      </c>
      <c r="F32" s="4" t="s">
        <v>57</v>
      </c>
      <c r="G32" s="2" t="s">
        <v>121</v>
      </c>
      <c r="H32" s="5" t="s">
        <v>16</v>
      </c>
      <c r="I32" s="6"/>
      <c r="J32" s="2" t="s">
        <v>122</v>
      </c>
    </row>
    <row r="33" spans="1:10" x14ac:dyDescent="0.25">
      <c r="A33" s="2" t="s">
        <v>107</v>
      </c>
      <c r="B33" s="3" t="s">
        <v>123</v>
      </c>
      <c r="C33" s="2" t="s">
        <v>124</v>
      </c>
      <c r="D33" s="3" t="s">
        <v>68</v>
      </c>
      <c r="E33" s="3" t="s">
        <v>14</v>
      </c>
      <c r="F33" s="4" t="s">
        <v>57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107</v>
      </c>
      <c r="B34" s="3" t="s">
        <v>126</v>
      </c>
      <c r="C34" s="2" t="s">
        <v>127</v>
      </c>
      <c r="D34" s="3" t="s">
        <v>68</v>
      </c>
      <c r="E34" s="3" t="s">
        <v>35</v>
      </c>
      <c r="F34" s="4" t="s">
        <v>57</v>
      </c>
      <c r="G34" s="2" t="s">
        <v>128</v>
      </c>
      <c r="H34" s="5" t="s">
        <v>16</v>
      </c>
      <c r="I34" s="6"/>
      <c r="J34" s="2" t="s">
        <v>16</v>
      </c>
    </row>
    <row r="35" spans="1:10" x14ac:dyDescent="0.25">
      <c r="A35" s="2" t="s">
        <v>107</v>
      </c>
      <c r="B35" s="3" t="s">
        <v>129</v>
      </c>
      <c r="C35" s="2" t="s">
        <v>130</v>
      </c>
      <c r="D35" s="3" t="s">
        <v>68</v>
      </c>
      <c r="E35" s="3" t="s">
        <v>14</v>
      </c>
      <c r="F35" s="4" t="s">
        <v>15</v>
      </c>
      <c r="G35" s="2" t="s">
        <v>16</v>
      </c>
      <c r="H35" s="5" t="s">
        <v>16</v>
      </c>
      <c r="I35" s="6"/>
      <c r="J35" s="2" t="s">
        <v>131</v>
      </c>
    </row>
    <row r="36" spans="1:10" x14ac:dyDescent="0.25">
      <c r="A36" s="2" t="s">
        <v>107</v>
      </c>
      <c r="B36" s="3" t="s">
        <v>132</v>
      </c>
      <c r="C36" s="2" t="s">
        <v>133</v>
      </c>
      <c r="D36" s="3" t="s">
        <v>68</v>
      </c>
      <c r="E36" s="3" t="s">
        <v>35</v>
      </c>
      <c r="F36" s="4" t="s">
        <v>57</v>
      </c>
      <c r="G36" s="2" t="s">
        <v>117</v>
      </c>
      <c r="H36" s="5" t="s">
        <v>16</v>
      </c>
      <c r="I36" s="6"/>
      <c r="J36" s="2" t="s">
        <v>134</v>
      </c>
    </row>
    <row r="37" spans="1:10" x14ac:dyDescent="0.25">
      <c r="A37" s="2" t="s">
        <v>135</v>
      </c>
      <c r="B37" s="3" t="s">
        <v>136</v>
      </c>
      <c r="C37" s="2" t="s">
        <v>137</v>
      </c>
      <c r="D37" s="3" t="s">
        <v>68</v>
      </c>
      <c r="E37" s="3" t="s">
        <v>14</v>
      </c>
      <c r="F37" s="4" t="s">
        <v>39</v>
      </c>
      <c r="G37" s="2" t="s">
        <v>16</v>
      </c>
      <c r="H37" s="5" t="s">
        <v>16</v>
      </c>
      <c r="I37" s="6"/>
      <c r="J37" s="2" t="s">
        <v>138</v>
      </c>
    </row>
    <row r="38" spans="1:10" x14ac:dyDescent="0.25">
      <c r="A38" s="2" t="s">
        <v>135</v>
      </c>
      <c r="B38" s="3" t="s">
        <v>139</v>
      </c>
      <c r="C38" s="2" t="s">
        <v>140</v>
      </c>
      <c r="D38" s="3" t="s">
        <v>68</v>
      </c>
      <c r="E38" s="3" t="s">
        <v>14</v>
      </c>
      <c r="F38" s="4" t="s">
        <v>57</v>
      </c>
      <c r="G38" s="2" t="s">
        <v>141</v>
      </c>
      <c r="H38" s="5" t="s">
        <v>16</v>
      </c>
      <c r="I38" s="6"/>
      <c r="J38" s="2" t="s">
        <v>16</v>
      </c>
    </row>
    <row r="39" spans="1:10" x14ac:dyDescent="0.25">
      <c r="A39" s="2" t="s">
        <v>135</v>
      </c>
      <c r="B39" s="3" t="s">
        <v>142</v>
      </c>
      <c r="C39" s="2" t="s">
        <v>143</v>
      </c>
      <c r="D39" s="3" t="s">
        <v>68</v>
      </c>
      <c r="E39" s="3" t="s">
        <v>35</v>
      </c>
      <c r="F39" s="4" t="s">
        <v>57</v>
      </c>
      <c r="G39" s="2" t="s">
        <v>141</v>
      </c>
      <c r="H39" s="5" t="s">
        <v>16</v>
      </c>
      <c r="I39" s="6"/>
      <c r="J39" s="2" t="s">
        <v>16</v>
      </c>
    </row>
    <row r="40" spans="1:10" x14ac:dyDescent="0.25">
      <c r="A40" s="2" t="s">
        <v>135</v>
      </c>
      <c r="B40" s="3" t="s">
        <v>144</v>
      </c>
      <c r="C40" s="2" t="s">
        <v>145</v>
      </c>
      <c r="D40" s="3" t="s">
        <v>68</v>
      </c>
      <c r="E40" s="3" t="s">
        <v>35</v>
      </c>
      <c r="F40" s="4" t="s">
        <v>57</v>
      </c>
      <c r="G40" s="2" t="s">
        <v>141</v>
      </c>
      <c r="H40" s="5" t="s">
        <v>16</v>
      </c>
      <c r="I40" s="6"/>
      <c r="J40" s="2" t="s">
        <v>16</v>
      </c>
    </row>
    <row r="41" spans="1:10" x14ac:dyDescent="0.25">
      <c r="A41" s="2" t="s">
        <v>135</v>
      </c>
      <c r="B41" s="3" t="s">
        <v>146</v>
      </c>
      <c r="C41" s="2" t="s">
        <v>147</v>
      </c>
      <c r="D41" s="3" t="s">
        <v>68</v>
      </c>
      <c r="E41" s="3" t="s">
        <v>35</v>
      </c>
      <c r="F41" s="4" t="s">
        <v>15</v>
      </c>
      <c r="G41" s="2" t="s">
        <v>16</v>
      </c>
      <c r="H41" s="5" t="s">
        <v>16</v>
      </c>
      <c r="I41" s="6"/>
      <c r="J41" s="2" t="s">
        <v>148</v>
      </c>
    </row>
    <row r="42" spans="1:10" x14ac:dyDescent="0.25">
      <c r="A42" s="2" t="s">
        <v>135</v>
      </c>
      <c r="B42" s="3" t="s">
        <v>149</v>
      </c>
      <c r="C42" s="2" t="s">
        <v>150</v>
      </c>
      <c r="D42" s="3" t="s">
        <v>68</v>
      </c>
      <c r="E42" s="3" t="s">
        <v>35</v>
      </c>
      <c r="F42" s="4" t="s">
        <v>39</v>
      </c>
      <c r="G42" s="2" t="s">
        <v>151</v>
      </c>
      <c r="H42" s="5" t="s">
        <v>16</v>
      </c>
      <c r="I42" s="6"/>
      <c r="J42" s="2" t="s">
        <v>152</v>
      </c>
    </row>
    <row r="43" spans="1:10" x14ac:dyDescent="0.25">
      <c r="A43" s="2" t="s">
        <v>135</v>
      </c>
      <c r="B43" s="3" t="s">
        <v>153</v>
      </c>
      <c r="C43" s="2" t="s">
        <v>154</v>
      </c>
      <c r="D43" s="3" t="s">
        <v>68</v>
      </c>
      <c r="E43" s="3" t="s">
        <v>72</v>
      </c>
      <c r="F43" s="4" t="s">
        <v>57</v>
      </c>
      <c r="G43" s="2" t="s">
        <v>16</v>
      </c>
      <c r="H43" s="5" t="s">
        <v>16</v>
      </c>
      <c r="I43" s="6"/>
      <c r="J43" s="2" t="s">
        <v>16</v>
      </c>
    </row>
    <row r="44" spans="1:10" x14ac:dyDescent="0.25">
      <c r="A44" s="2" t="s">
        <v>135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57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135</v>
      </c>
      <c r="B45" s="3" t="s">
        <v>158</v>
      </c>
      <c r="C45" s="2" t="s">
        <v>159</v>
      </c>
      <c r="D45" s="3" t="s">
        <v>20</v>
      </c>
      <c r="E45" s="3" t="s">
        <v>35</v>
      </c>
      <c r="F45" s="4" t="s">
        <v>15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135</v>
      </c>
      <c r="B46" s="3" t="s">
        <v>161</v>
      </c>
      <c r="C46" s="2" t="s">
        <v>162</v>
      </c>
      <c r="D46" s="3" t="s">
        <v>68</v>
      </c>
      <c r="E46" s="3" t="s">
        <v>35</v>
      </c>
      <c r="F46" s="4" t="s">
        <v>15</v>
      </c>
      <c r="G46" s="2" t="s">
        <v>16</v>
      </c>
      <c r="H46" s="5" t="s">
        <v>16</v>
      </c>
      <c r="I46" s="6"/>
      <c r="J46" s="2" t="s">
        <v>163</v>
      </c>
    </row>
    <row r="47" spans="1:10" x14ac:dyDescent="0.25">
      <c r="A47" s="2" t="s">
        <v>135</v>
      </c>
      <c r="B47" s="3" t="s">
        <v>164</v>
      </c>
      <c r="C47" s="2" t="s">
        <v>165</v>
      </c>
      <c r="D47" s="3" t="s">
        <v>68</v>
      </c>
      <c r="E47" s="3" t="s">
        <v>72</v>
      </c>
      <c r="F47" s="4" t="s">
        <v>57</v>
      </c>
      <c r="G47" s="2" t="s">
        <v>16</v>
      </c>
      <c r="H47" s="5" t="s">
        <v>16</v>
      </c>
      <c r="I47" s="6"/>
      <c r="J47" s="2" t="s">
        <v>16</v>
      </c>
    </row>
    <row r="48" spans="1:10" x14ac:dyDescent="0.25">
      <c r="A48" s="2" t="s">
        <v>166</v>
      </c>
      <c r="B48" s="3" t="s">
        <v>167</v>
      </c>
      <c r="C48" s="2" t="s">
        <v>168</v>
      </c>
      <c r="D48" s="3" t="s">
        <v>68</v>
      </c>
      <c r="E48" s="3" t="s">
        <v>14</v>
      </c>
      <c r="F48" s="4" t="s">
        <v>57</v>
      </c>
      <c r="G48" s="2" t="s">
        <v>169</v>
      </c>
      <c r="H48" s="5" t="s">
        <v>16</v>
      </c>
      <c r="I48" s="6"/>
      <c r="J48" s="2" t="s">
        <v>16</v>
      </c>
    </row>
    <row r="49" spans="1:10" x14ac:dyDescent="0.25">
      <c r="A49" s="2" t="s">
        <v>166</v>
      </c>
      <c r="B49" s="3" t="s">
        <v>170</v>
      </c>
      <c r="C49" s="2" t="s">
        <v>171</v>
      </c>
      <c r="D49" s="3" t="s">
        <v>28</v>
      </c>
      <c r="E49" s="3" t="s">
        <v>14</v>
      </c>
      <c r="F49" s="4" t="s">
        <v>57</v>
      </c>
      <c r="G49" s="2" t="s">
        <v>169</v>
      </c>
      <c r="H49" s="5" t="s">
        <v>16</v>
      </c>
      <c r="I49" s="6"/>
      <c r="J49" s="2" t="s">
        <v>16</v>
      </c>
    </row>
    <row r="50" spans="1:10" x14ac:dyDescent="0.25">
      <c r="A50" s="2" t="s">
        <v>166</v>
      </c>
      <c r="B50" s="3" t="s">
        <v>172</v>
      </c>
      <c r="C50" s="2" t="s">
        <v>173</v>
      </c>
      <c r="D50" s="3" t="s">
        <v>13</v>
      </c>
      <c r="E50" s="3" t="s">
        <v>14</v>
      </c>
      <c r="F50" s="4" t="s">
        <v>57</v>
      </c>
      <c r="G50" s="2" t="s">
        <v>174</v>
      </c>
      <c r="H50" s="5" t="s">
        <v>16</v>
      </c>
      <c r="I50" s="6"/>
      <c r="J50" s="2" t="s">
        <v>175</v>
      </c>
    </row>
    <row r="51" spans="1:10" x14ac:dyDescent="0.25">
      <c r="A51" s="2" t="s">
        <v>166</v>
      </c>
      <c r="B51" s="3" t="s">
        <v>176</v>
      </c>
      <c r="C51" s="2" t="s">
        <v>177</v>
      </c>
      <c r="D51" s="3" t="s">
        <v>68</v>
      </c>
      <c r="E51" s="3" t="s">
        <v>14</v>
      </c>
      <c r="F51" s="4" t="s">
        <v>57</v>
      </c>
      <c r="G51" s="2" t="s">
        <v>178</v>
      </c>
      <c r="H51" s="5" t="s">
        <v>16</v>
      </c>
      <c r="I51" s="6"/>
      <c r="J51" s="2" t="s">
        <v>16</v>
      </c>
    </row>
    <row r="52" spans="1:10" x14ac:dyDescent="0.25">
      <c r="A52" s="2" t="s">
        <v>166</v>
      </c>
      <c r="B52" s="3" t="s">
        <v>179</v>
      </c>
      <c r="C52" s="2" t="s">
        <v>180</v>
      </c>
      <c r="D52" s="3" t="s">
        <v>20</v>
      </c>
      <c r="E52" s="3" t="s">
        <v>35</v>
      </c>
      <c r="F52" s="4" t="s">
        <v>39</v>
      </c>
      <c r="G52" s="2" t="s">
        <v>16</v>
      </c>
      <c r="H52" s="5" t="s">
        <v>16</v>
      </c>
      <c r="I52" s="6"/>
      <c r="J52" s="2" t="s">
        <v>181</v>
      </c>
    </row>
    <row r="53" spans="1:10" x14ac:dyDescent="0.25">
      <c r="A53" s="2" t="s">
        <v>166</v>
      </c>
      <c r="B53" s="3" t="s">
        <v>182</v>
      </c>
      <c r="C53" s="2" t="s">
        <v>183</v>
      </c>
      <c r="D53" s="3" t="s">
        <v>68</v>
      </c>
      <c r="E53" s="3" t="s">
        <v>72</v>
      </c>
      <c r="F53" s="4" t="s">
        <v>57</v>
      </c>
      <c r="G53" s="2" t="s">
        <v>184</v>
      </c>
      <c r="H53" s="5" t="s">
        <v>16</v>
      </c>
      <c r="I53" s="6"/>
      <c r="J53" s="2" t="s">
        <v>16</v>
      </c>
    </row>
    <row r="54" spans="1:10" x14ac:dyDescent="0.25">
      <c r="A54" s="2" t="s">
        <v>185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185</v>
      </c>
      <c r="B55" s="3" t="s">
        <v>189</v>
      </c>
      <c r="C55" s="2" t="s">
        <v>190</v>
      </c>
      <c r="D55" s="3" t="s">
        <v>20</v>
      </c>
      <c r="E55" s="3" t="s">
        <v>14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185</v>
      </c>
      <c r="B56" s="3" t="s">
        <v>192</v>
      </c>
      <c r="C56" s="2" t="s">
        <v>193</v>
      </c>
      <c r="D56" s="3" t="s">
        <v>20</v>
      </c>
      <c r="E56" s="3" t="s">
        <v>35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185</v>
      </c>
      <c r="B57" s="3" t="s">
        <v>195</v>
      </c>
      <c r="C57" s="2" t="s">
        <v>196</v>
      </c>
      <c r="D57" s="3" t="s">
        <v>43</v>
      </c>
      <c r="E57" s="3" t="s">
        <v>14</v>
      </c>
      <c r="F57" s="4" t="s">
        <v>15</v>
      </c>
      <c r="G57" s="2" t="s">
        <v>16</v>
      </c>
      <c r="H57" s="5" t="s">
        <v>16</v>
      </c>
      <c r="I57" s="6"/>
      <c r="J57" s="2" t="s">
        <v>197</v>
      </c>
    </row>
    <row r="58" spans="1:10" x14ac:dyDescent="0.25">
      <c r="A58" s="2" t="s">
        <v>185</v>
      </c>
      <c r="B58" s="3" t="s">
        <v>198</v>
      </c>
      <c r="C58" s="2" t="s">
        <v>199</v>
      </c>
      <c r="D58" s="3" t="s">
        <v>13</v>
      </c>
      <c r="E58" s="3" t="s">
        <v>35</v>
      </c>
      <c r="F58" s="4" t="s">
        <v>57</v>
      </c>
      <c r="G58" s="2" t="s">
        <v>16</v>
      </c>
      <c r="H58" s="5" t="s">
        <v>16</v>
      </c>
      <c r="I58" s="6"/>
      <c r="J58" s="2" t="s">
        <v>16</v>
      </c>
    </row>
    <row r="59" spans="1:10" x14ac:dyDescent="0.25">
      <c r="A59" s="2" t="s">
        <v>185</v>
      </c>
      <c r="B59" s="3" t="s">
        <v>200</v>
      </c>
      <c r="C59" s="2" t="s">
        <v>201</v>
      </c>
      <c r="D59" s="3" t="s">
        <v>13</v>
      </c>
      <c r="E59" s="3" t="s">
        <v>35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185</v>
      </c>
      <c r="B60" s="3" t="s">
        <v>203</v>
      </c>
      <c r="C60" s="2" t="s">
        <v>204</v>
      </c>
      <c r="D60" s="3" t="s">
        <v>43</v>
      </c>
      <c r="E60" s="3" t="s">
        <v>72</v>
      </c>
      <c r="F60" s="4" t="s">
        <v>39</v>
      </c>
      <c r="G60" s="2" t="s">
        <v>16</v>
      </c>
      <c r="H60" s="5" t="s">
        <v>16</v>
      </c>
      <c r="I60" s="6"/>
      <c r="J60" s="2" t="s">
        <v>205</v>
      </c>
    </row>
    <row r="61" spans="1:10" x14ac:dyDescent="0.25">
      <c r="A61" s="2" t="s">
        <v>185</v>
      </c>
      <c r="B61" s="3" t="s">
        <v>206</v>
      </c>
      <c r="C61" s="2" t="s">
        <v>207</v>
      </c>
      <c r="D61" s="3" t="s">
        <v>68</v>
      </c>
      <c r="E61" s="3" t="s">
        <v>35</v>
      </c>
      <c r="F61" s="4" t="s">
        <v>39</v>
      </c>
      <c r="G61" s="2" t="s">
        <v>208</v>
      </c>
      <c r="H61" s="5" t="s">
        <v>16</v>
      </c>
      <c r="I61" s="6"/>
      <c r="J61" s="2" t="s">
        <v>209</v>
      </c>
    </row>
    <row r="62" spans="1:10" x14ac:dyDescent="0.25">
      <c r="A62" s="2" t="s">
        <v>185</v>
      </c>
      <c r="B62" s="3" t="s">
        <v>210</v>
      </c>
      <c r="C62" s="2" t="s">
        <v>211</v>
      </c>
      <c r="D62" s="3" t="s">
        <v>20</v>
      </c>
      <c r="E62" s="3" t="s">
        <v>14</v>
      </c>
      <c r="F62" s="4" t="s">
        <v>15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185</v>
      </c>
      <c r="B63" s="3" t="s">
        <v>213</v>
      </c>
      <c r="C63" s="2" t="s">
        <v>214</v>
      </c>
      <c r="D63" s="3" t="s">
        <v>68</v>
      </c>
      <c r="E63" s="3" t="s">
        <v>72</v>
      </c>
      <c r="F63" s="4" t="s">
        <v>21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185</v>
      </c>
      <c r="B64" s="3" t="s">
        <v>216</v>
      </c>
      <c r="C64" s="2" t="s">
        <v>217</v>
      </c>
      <c r="D64" s="3" t="s">
        <v>20</v>
      </c>
      <c r="E64" s="3" t="s">
        <v>14</v>
      </c>
      <c r="F64" s="4" t="s">
        <v>21</v>
      </c>
      <c r="G64" s="2" t="s">
        <v>16</v>
      </c>
      <c r="H64" s="5" t="s">
        <v>16</v>
      </c>
      <c r="I64" s="6"/>
      <c r="J64" s="2" t="s">
        <v>218</v>
      </c>
    </row>
    <row r="65" spans="1:10" x14ac:dyDescent="0.25">
      <c r="A65" s="2" t="s">
        <v>185</v>
      </c>
      <c r="B65" s="3" t="s">
        <v>219</v>
      </c>
      <c r="C65" s="2" t="s">
        <v>220</v>
      </c>
      <c r="D65" s="3" t="s">
        <v>68</v>
      </c>
      <c r="E65" s="3" t="s">
        <v>35</v>
      </c>
      <c r="F65" s="4" t="s">
        <v>15</v>
      </c>
      <c r="G65" s="2" t="s">
        <v>16</v>
      </c>
      <c r="H65" s="5" t="s">
        <v>16</v>
      </c>
      <c r="I65" s="6"/>
      <c r="J65" s="2" t="s">
        <v>221</v>
      </c>
    </row>
    <row r="66" spans="1:10" x14ac:dyDescent="0.25">
      <c r="A66" s="2" t="s">
        <v>185</v>
      </c>
      <c r="B66" s="3" t="s">
        <v>222</v>
      </c>
      <c r="C66" s="2" t="s">
        <v>223</v>
      </c>
      <c r="D66" s="3" t="s">
        <v>20</v>
      </c>
      <c r="E66" s="3" t="s">
        <v>35</v>
      </c>
      <c r="F66" s="4" t="s">
        <v>57</v>
      </c>
      <c r="G66" s="2" t="s">
        <v>155</v>
      </c>
      <c r="H66" s="5" t="s">
        <v>16</v>
      </c>
      <c r="I66" s="6"/>
      <c r="J66" s="2" t="s">
        <v>224</v>
      </c>
    </row>
    <row r="67" spans="1:10" x14ac:dyDescent="0.25">
      <c r="A67" s="2" t="s">
        <v>185</v>
      </c>
      <c r="B67" s="3" t="s">
        <v>225</v>
      </c>
      <c r="C67" s="2" t="s">
        <v>226</v>
      </c>
      <c r="D67" s="3" t="s">
        <v>13</v>
      </c>
      <c r="E67" s="3" t="s">
        <v>35</v>
      </c>
      <c r="F67" s="4" t="s">
        <v>57</v>
      </c>
      <c r="G67" s="2" t="s">
        <v>16</v>
      </c>
      <c r="H67" s="5" t="s">
        <v>16</v>
      </c>
      <c r="I67" s="6"/>
      <c r="J67" s="2" t="s">
        <v>227</v>
      </c>
    </row>
    <row r="68" spans="1:10" x14ac:dyDescent="0.25">
      <c r="A68" s="2" t="s">
        <v>228</v>
      </c>
      <c r="B68" s="3" t="s">
        <v>229</v>
      </c>
      <c r="C68" s="2" t="s">
        <v>230</v>
      </c>
      <c r="D68" s="3" t="s">
        <v>231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232</v>
      </c>
    </row>
    <row r="69" spans="1:10" x14ac:dyDescent="0.25">
      <c r="A69" s="2" t="s">
        <v>228</v>
      </c>
      <c r="B69" s="3" t="s">
        <v>233</v>
      </c>
      <c r="C69" s="2" t="s">
        <v>234</v>
      </c>
      <c r="D69" s="3" t="s">
        <v>231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228</v>
      </c>
      <c r="B70" s="3" t="s">
        <v>235</v>
      </c>
      <c r="C70" s="2" t="s">
        <v>236</v>
      </c>
      <c r="D70" s="3" t="s">
        <v>231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228</v>
      </c>
      <c r="B71" s="3" t="s">
        <v>237</v>
      </c>
      <c r="C71" s="2" t="s">
        <v>238</v>
      </c>
      <c r="D71" s="3" t="s">
        <v>231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228</v>
      </c>
      <c r="B72" s="3" t="s">
        <v>239</v>
      </c>
      <c r="C72" s="2" t="s">
        <v>240</v>
      </c>
      <c r="D72" s="3" t="s">
        <v>231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16</v>
      </c>
    </row>
    <row r="73" spans="1:10" x14ac:dyDescent="0.25">
      <c r="A73" s="2" t="s">
        <v>228</v>
      </c>
      <c r="B73" s="3" t="s">
        <v>241</v>
      </c>
      <c r="C73" s="2" t="s">
        <v>242</v>
      </c>
      <c r="D73" s="3" t="s">
        <v>231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16</v>
      </c>
    </row>
    <row r="74" spans="1:10" x14ac:dyDescent="0.25">
      <c r="A74" s="2" t="s">
        <v>228</v>
      </c>
      <c r="B74" s="3" t="s">
        <v>243</v>
      </c>
      <c r="C74" s="2" t="s">
        <v>244</v>
      </c>
      <c r="D74" s="3" t="s">
        <v>231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245</v>
      </c>
    </row>
    <row r="75" spans="1:10" x14ac:dyDescent="0.25">
      <c r="A75" s="2" t="s">
        <v>228</v>
      </c>
      <c r="B75" s="3" t="s">
        <v>246</v>
      </c>
      <c r="C75" s="2" t="s">
        <v>247</v>
      </c>
      <c r="D75" s="3" t="s">
        <v>231</v>
      </c>
      <c r="E75" s="3" t="s">
        <v>14</v>
      </c>
      <c r="F75" s="4" t="s">
        <v>15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228</v>
      </c>
      <c r="B76" s="3" t="s">
        <v>248</v>
      </c>
      <c r="C76" s="2" t="s">
        <v>249</v>
      </c>
      <c r="D76" s="3" t="s">
        <v>231</v>
      </c>
      <c r="E76" s="3" t="s">
        <v>14</v>
      </c>
      <c r="F76" s="4" t="s">
        <v>15</v>
      </c>
      <c r="G76" s="2" t="s">
        <v>16</v>
      </c>
      <c r="H76" s="5" t="s">
        <v>16</v>
      </c>
      <c r="I76" s="6"/>
      <c r="J76" s="2" t="s">
        <v>16</v>
      </c>
    </row>
    <row r="77" spans="1:10" x14ac:dyDescent="0.25">
      <c r="A77" s="2" t="s">
        <v>228</v>
      </c>
      <c r="B77" s="3" t="s">
        <v>250</v>
      </c>
      <c r="C77" s="2" t="s">
        <v>251</v>
      </c>
      <c r="D77" s="3" t="s">
        <v>231</v>
      </c>
      <c r="E77" s="3" t="s">
        <v>14</v>
      </c>
      <c r="F77" s="4" t="s">
        <v>15</v>
      </c>
      <c r="G77" s="2" t="s">
        <v>16</v>
      </c>
      <c r="H77" s="5" t="s">
        <v>16</v>
      </c>
      <c r="I77" s="6"/>
      <c r="J77" s="2" t="s">
        <v>252</v>
      </c>
    </row>
    <row r="78" spans="1:10" x14ac:dyDescent="0.25">
      <c r="A78" s="2" t="s">
        <v>228</v>
      </c>
      <c r="B78" s="3" t="s">
        <v>253</v>
      </c>
      <c r="C78" s="2" t="s">
        <v>254</v>
      </c>
      <c r="D78" s="3" t="s">
        <v>231</v>
      </c>
      <c r="E78" s="3" t="s">
        <v>14</v>
      </c>
      <c r="F78" s="4" t="s">
        <v>15</v>
      </c>
      <c r="G78" s="2" t="s">
        <v>16</v>
      </c>
      <c r="H78" s="5" t="s">
        <v>16</v>
      </c>
      <c r="I78" s="6"/>
      <c r="J78" s="2" t="s">
        <v>255</v>
      </c>
    </row>
    <row r="79" spans="1:10" x14ac:dyDescent="0.25">
      <c r="A79" s="2" t="s">
        <v>228</v>
      </c>
      <c r="B79" s="3" t="s">
        <v>256</v>
      </c>
      <c r="C79" s="2" t="s">
        <v>257</v>
      </c>
      <c r="D79" s="3" t="s">
        <v>231</v>
      </c>
      <c r="E79" s="3" t="s">
        <v>14</v>
      </c>
      <c r="F79" s="4" t="s">
        <v>15</v>
      </c>
      <c r="G79" s="2" t="s">
        <v>16</v>
      </c>
      <c r="H79" s="5" t="s">
        <v>16</v>
      </c>
      <c r="I79" s="6"/>
      <c r="J79" s="2" t="s">
        <v>258</v>
      </c>
    </row>
    <row r="80" spans="1:10" x14ac:dyDescent="0.25">
      <c r="A80" s="2" t="s">
        <v>228</v>
      </c>
      <c r="B80" s="3" t="s">
        <v>259</v>
      </c>
      <c r="C80" s="2" t="s">
        <v>260</v>
      </c>
      <c r="D80" s="3" t="s">
        <v>231</v>
      </c>
      <c r="E80" s="3" t="s">
        <v>35</v>
      </c>
      <c r="F80" s="4" t="s">
        <v>57</v>
      </c>
      <c r="G80" s="2" t="s">
        <v>16</v>
      </c>
      <c r="H80" s="5" t="s">
        <v>16</v>
      </c>
      <c r="I80" s="6"/>
      <c r="J80" s="2" t="s">
        <v>16</v>
      </c>
    </row>
    <row r="82" spans="1:1" x14ac:dyDescent="0.25">
      <c r="A82" s="7" t="s">
        <v>261</v>
      </c>
    </row>
    <row r="83" spans="1:1" x14ac:dyDescent="0.25">
      <c r="A83" s="8" t="s">
        <v>262</v>
      </c>
    </row>
    <row r="84" spans="1:1" x14ac:dyDescent="0.25">
      <c r="A84" s="8" t="s">
        <v>263</v>
      </c>
    </row>
  </sheetData>
  <autoFilter ref="A1:J80"/>
  <conditionalFormatting sqref="F2:F80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80">
    <cfRule type="cellIs" dxfId="4" priority="5" operator="equal">
      <formula>"بالا"</formula>
    </cfRule>
  </conditionalFormatting>
  <dataValidations count="4">
    <dataValidation type="list" sqref="E10:E80">
      <formula1>"بالا,متوسط,پایین"</formula1>
    </dataValidation>
    <dataValidation type="list" sqref="E2:E80">
      <formula1>"بالا,متوسط,پایین"</formula1>
    </dataValidation>
    <dataValidation type="list" sqref="F10:F80">
      <formula1>"انجام نشده,در حال انجام,انجام شد,مسدود,به‌تعویق"</formula1>
    </dataValidation>
    <dataValidation type="list" sqref="F2:F80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264</v>
      </c>
      <c r="C1" s="1" t="s">
        <v>15</v>
      </c>
      <c r="D1" s="1" t="s">
        <v>39</v>
      </c>
      <c r="E1" s="1" t="s">
        <v>265</v>
      </c>
      <c r="F1" s="1" t="s">
        <v>21</v>
      </c>
      <c r="G1" s="1" t="s">
        <v>57</v>
      </c>
      <c r="H1" s="1" t="s">
        <v>266</v>
      </c>
    </row>
    <row r="2" spans="1:8" x14ac:dyDescent="0.25">
      <c r="A2" s="2" t="s">
        <v>10</v>
      </c>
      <c r="B2" s="3">
        <f>COUNTIF('لیست کارها'!$A$2:$A$80,A2)</f>
        <v>14</v>
      </c>
      <c r="C2" s="3">
        <f>COUNTIFS('لیست کارها'!$A$2:$A$80,A2,'لیست کارها'!$F$2:$F$80,"انجام شد")</f>
        <v>8</v>
      </c>
      <c r="D2" s="3">
        <f>COUNTIFS('لیست کارها'!$A$2:$A$80,A2,'لیست کارها'!$F$2:$F$80,"در حال انجام")</f>
        <v>1</v>
      </c>
      <c r="E2" s="3">
        <f>COUNTIFS('لیست کارها'!$A$2:$A$80,A2,'لیست کارها'!$F$2:$F$80,"مسدود")</f>
        <v>0</v>
      </c>
      <c r="F2" s="3">
        <f>COUNTIFS('لیست کارها'!$A$2:$A$80,A2,'لیست کارها'!$F$2:$F$80,"به‌تعویق")</f>
        <v>2</v>
      </c>
      <c r="G2" s="3">
        <f>COUNTIFS('لیست کارها'!$A$2:$A$80,A2,'لیست کارها'!$F$2:$F$80,"انجام نشده")</f>
        <v>3</v>
      </c>
      <c r="H2" s="9">
        <f>IFERROR(C2/B2,0)</f>
        <v>0.5714285714285714</v>
      </c>
    </row>
    <row r="3" spans="1:8" x14ac:dyDescent="0.25">
      <c r="A3" s="2" t="s">
        <v>65</v>
      </c>
      <c r="B3" s="3">
        <f>COUNTIF('لیست کارها'!$A$2:$A$80,A3)</f>
        <v>4</v>
      </c>
      <c r="C3" s="3">
        <f>COUNTIFS('لیست کارها'!$A$2:$A$80,A3,'لیست کارها'!$F$2:$F$80,"انجام شد")</f>
        <v>3</v>
      </c>
      <c r="D3" s="3">
        <f>COUNTIFS('لیست کارها'!$A$2:$A$80,A3,'لیست کارها'!$F$2:$F$80,"در حال انجام")</f>
        <v>0</v>
      </c>
      <c r="E3" s="3">
        <f>COUNTIFS('لیست کارها'!$A$2:$A$80,A3,'لیست کارها'!$F$2:$F$80,"مسدود")</f>
        <v>0</v>
      </c>
      <c r="F3" s="3">
        <f>COUNTIFS('لیست کارها'!$A$2:$A$80,A3,'لیست کارها'!$F$2:$F$80,"به‌تعویق")</f>
        <v>0</v>
      </c>
      <c r="G3" s="3">
        <f>COUNTIFS('لیست کارها'!$A$2:$A$80,A3,'لیست کارها'!$F$2:$F$80,"انجام نشده")</f>
        <v>1</v>
      </c>
      <c r="H3" s="9">
        <f>IFERROR(C3/B3,0)</f>
        <v>0.75</v>
      </c>
    </row>
    <row r="4" spans="1:8" x14ac:dyDescent="0.25">
      <c r="A4" s="2" t="s">
        <v>79</v>
      </c>
      <c r="B4" s="3">
        <f>COUNTIF('لیست کارها'!$A$2:$A$80,A4)</f>
        <v>8</v>
      </c>
      <c r="C4" s="3">
        <f>COUNTIFS('لیست کارها'!$A$2:$A$80,A4,'لیست کارها'!$F$2:$F$80,"انجام شد")</f>
        <v>7</v>
      </c>
      <c r="D4" s="3">
        <f>COUNTIFS('لیست کارها'!$A$2:$A$80,A4,'لیست کارها'!$F$2:$F$80,"در حال انجام")</f>
        <v>0</v>
      </c>
      <c r="E4" s="3">
        <f>COUNTIFS('لیست کارها'!$A$2:$A$80,A4,'لیست کارها'!$F$2:$F$80,"مسدود")</f>
        <v>0</v>
      </c>
      <c r="F4" s="3">
        <f>COUNTIFS('لیست کارها'!$A$2:$A$80,A4,'لیست کارها'!$F$2:$F$80,"به‌تعویق")</f>
        <v>0</v>
      </c>
      <c r="G4" s="3">
        <f>COUNTIFS('لیست کارها'!$A$2:$A$80,A4,'لیست کارها'!$F$2:$F$80,"انجام نشده")</f>
        <v>1</v>
      </c>
      <c r="H4" s="9">
        <f>IFERROR(C4/B4,0)</f>
        <v>0.875</v>
      </c>
    </row>
    <row r="5" spans="1:8" x14ac:dyDescent="0.25">
      <c r="A5" s="2" t="s">
        <v>107</v>
      </c>
      <c r="B5" s="3">
        <f>COUNTIF('لیست کارها'!$A$2:$A$80,A5)</f>
        <v>9</v>
      </c>
      <c r="C5" s="3">
        <f>COUNTIFS('لیست کارها'!$A$2:$A$80,A5,'لیست کارها'!$F$2:$F$80,"انجام شد")</f>
        <v>1</v>
      </c>
      <c r="D5" s="3">
        <f>COUNTIFS('لیست کارها'!$A$2:$A$80,A5,'لیست کارها'!$F$2:$F$80,"در حال انجام")</f>
        <v>0</v>
      </c>
      <c r="E5" s="3">
        <f>COUNTIFS('لیست کارها'!$A$2:$A$80,A5,'لیست کارها'!$F$2:$F$80,"مسدود")</f>
        <v>0</v>
      </c>
      <c r="F5" s="3">
        <f>COUNTIFS('لیست کارها'!$A$2:$A$80,A5,'لیست کارها'!$F$2:$F$80,"به‌تعویق")</f>
        <v>0</v>
      </c>
      <c r="G5" s="3">
        <f>COUNTIFS('لیست کارها'!$A$2:$A$80,A5,'لیست کارها'!$F$2:$F$80,"انجام نشده")</f>
        <v>8</v>
      </c>
      <c r="H5" s="9">
        <f>IFERROR(C5/B5,0)</f>
        <v>0.1111111111111111</v>
      </c>
    </row>
    <row r="6" spans="1:8" x14ac:dyDescent="0.25">
      <c r="A6" s="2" t="s">
        <v>135</v>
      </c>
      <c r="B6" s="3">
        <f>COUNTIF('لیست کارها'!$A$2:$A$80,A6)</f>
        <v>11</v>
      </c>
      <c r="C6" s="3">
        <f>COUNTIFS('لیست کارها'!$A$2:$A$80,A6,'لیست کارها'!$F$2:$F$80,"انجام شد")</f>
        <v>3</v>
      </c>
      <c r="D6" s="3">
        <f>COUNTIFS('لیست کارها'!$A$2:$A$80,A6,'لیست کارها'!$F$2:$F$80,"در حال انجام")</f>
        <v>2</v>
      </c>
      <c r="E6" s="3">
        <f>COUNTIFS('لیست کارها'!$A$2:$A$80,A6,'لیست کارها'!$F$2:$F$80,"مسدود")</f>
        <v>0</v>
      </c>
      <c r="F6" s="3">
        <f>COUNTIFS('لیست کارها'!$A$2:$A$80,A6,'لیست کارها'!$F$2:$F$80,"به‌تعویق")</f>
        <v>0</v>
      </c>
      <c r="G6" s="3">
        <f>COUNTIFS('لیست کارها'!$A$2:$A$80,A6,'لیست کارها'!$F$2:$F$80,"انجام نشده")</f>
        <v>6</v>
      </c>
      <c r="H6" s="9">
        <f>IFERROR(C6/B6,0)</f>
        <v>0.2727272727272727</v>
      </c>
    </row>
    <row r="7" spans="1:8" x14ac:dyDescent="0.25">
      <c r="A7" s="2" t="s">
        <v>166</v>
      </c>
      <c r="B7" s="3">
        <f>COUNTIF('لیست کارها'!$A$2:$A$80,A7)</f>
        <v>6</v>
      </c>
      <c r="C7" s="3">
        <f>COUNTIFS('لیست کارها'!$A$2:$A$80,A7,'لیست کارها'!$F$2:$F$80,"انجام شد")</f>
        <v>0</v>
      </c>
      <c r="D7" s="3">
        <f>COUNTIFS('لیست کارها'!$A$2:$A$80,A7,'لیست کارها'!$F$2:$F$80,"در حال انجام")</f>
        <v>1</v>
      </c>
      <c r="E7" s="3">
        <f>COUNTIFS('لیست کارها'!$A$2:$A$80,A7,'لیست کارها'!$F$2:$F$80,"مسدود")</f>
        <v>0</v>
      </c>
      <c r="F7" s="3">
        <f>COUNTIFS('لیست کارها'!$A$2:$A$80,A7,'لیست کارها'!$F$2:$F$80,"به‌تعویق")</f>
        <v>0</v>
      </c>
      <c r="G7" s="3">
        <f>COUNTIFS('لیست کارها'!$A$2:$A$80,A7,'لیست کارها'!$F$2:$F$80,"انجام نشده")</f>
        <v>5</v>
      </c>
      <c r="H7" s="9">
        <f>IFERROR(C7/B7,0)</f>
        <v>0</v>
      </c>
    </row>
    <row r="8" spans="1:8" x14ac:dyDescent="0.25">
      <c r="A8" s="2" t="s">
        <v>185</v>
      </c>
      <c r="B8" s="3">
        <f>COUNTIF('لیست کارها'!$A$2:$A$80,A8)</f>
        <v>14</v>
      </c>
      <c r="C8" s="3">
        <f>COUNTIFS('لیست کارها'!$A$2:$A$80,A8,'لیست کارها'!$F$2:$F$80,"انجام شد")</f>
        <v>6</v>
      </c>
      <c r="D8" s="3">
        <f>COUNTIFS('لیست کارها'!$A$2:$A$80,A8,'لیست کارها'!$F$2:$F$80,"در حال انجام")</f>
        <v>3</v>
      </c>
      <c r="E8" s="3">
        <f>COUNTIFS('لیست کارها'!$A$2:$A$80,A8,'لیست کارها'!$F$2:$F$80,"مسدود")</f>
        <v>0</v>
      </c>
      <c r="F8" s="3">
        <f>COUNTIFS('لیست کارها'!$A$2:$A$80,A8,'لیست کارها'!$F$2:$F$80,"به‌تعویق")</f>
        <v>2</v>
      </c>
      <c r="G8" s="3">
        <f>COUNTIFS('لیست کارها'!$A$2:$A$80,A8,'لیست کارها'!$F$2:$F$80,"انجام نشده")</f>
        <v>3</v>
      </c>
      <c r="H8" s="9">
        <f>IFERROR(C8/B8,0)</f>
        <v>0.42857142857142855</v>
      </c>
    </row>
    <row r="9" spans="1:8" x14ac:dyDescent="0.25">
      <c r="A9" s="2" t="s">
        <v>228</v>
      </c>
      <c r="B9" s="3">
        <f>COUNTIF('لیست کارها'!$A$2:$A$80,A9)</f>
        <v>13</v>
      </c>
      <c r="C9" s="3">
        <f>COUNTIFS('لیست کارها'!$A$2:$A$80,A9,'لیست کارها'!$F$2:$F$80,"انجام شد")</f>
        <v>12</v>
      </c>
      <c r="D9" s="3">
        <f>COUNTIFS('لیست کارها'!$A$2:$A$80,A9,'لیست کارها'!$F$2:$F$80,"در حال انجام")</f>
        <v>0</v>
      </c>
      <c r="E9" s="3">
        <f>COUNTIFS('لیست کارها'!$A$2:$A$80,A9,'لیست کارها'!$F$2:$F$80,"مسدود")</f>
        <v>0</v>
      </c>
      <c r="F9" s="3">
        <f>COUNTIFS('لیست کارها'!$A$2:$A$80,A9,'لیست کارها'!$F$2:$F$80,"به‌تعویق")</f>
        <v>0</v>
      </c>
      <c r="G9" s="3">
        <f>COUNTIFS('لیست کارها'!$A$2:$A$80,A9,'لیست کارها'!$F$2:$F$80,"انجام نشده")</f>
        <v>1</v>
      </c>
      <c r="H9" s="9">
        <f>IFERROR(C9/B9,0)</f>
        <v>0.9230769230769231</v>
      </c>
    </row>
    <row r="10" spans="1:8" x14ac:dyDescent="0.25">
      <c r="A10" s="10" t="s">
        <v>267</v>
      </c>
      <c r="B10" s="11">
        <f>SUM(B2:B9)</f>
        <v>79</v>
      </c>
      <c r="C10" s="11">
        <f>SUM(C2:C9)</f>
        <v>40</v>
      </c>
      <c r="D10" s="11">
        <f>SUM(D2:D9)</f>
        <v>7</v>
      </c>
      <c r="E10" s="11">
        <f>SUM(E2:E9)</f>
        <v>0</v>
      </c>
      <c r="F10" s="11">
        <f>SUM(F2:F9)</f>
        <v>4</v>
      </c>
      <c r="G10" s="11">
        <f>SUM(G2:G9)</f>
        <v>28</v>
      </c>
      <c r="H10" s="12">
        <f>IFERROR(C10/B10,0)</f>
        <v>0.5063291139240507</v>
      </c>
    </row>
    <row r="12" spans="1:1" x14ac:dyDescent="0.25">
      <c r="A12" s="8" t="s">
        <v>268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269</v>
      </c>
      <c r="B1" s="1" t="s">
        <v>5</v>
      </c>
      <c r="C1" s="1" t="s">
        <v>270</v>
      </c>
    </row>
    <row r="2" spans="1:3" x14ac:dyDescent="0.25">
      <c r="A2" s="2" t="s">
        <v>271</v>
      </c>
      <c r="B2" s="3" t="s">
        <v>272</v>
      </c>
      <c r="C2" s="2" t="s">
        <v>273</v>
      </c>
    </row>
    <row r="3" spans="1:3" x14ac:dyDescent="0.25">
      <c r="A3" s="2" t="s">
        <v>274</v>
      </c>
      <c r="B3" s="3" t="s">
        <v>272</v>
      </c>
      <c r="C3" s="2" t="s">
        <v>275</v>
      </c>
    </row>
    <row r="4" spans="1:3" x14ac:dyDescent="0.25">
      <c r="A4" s="2" t="s">
        <v>276</v>
      </c>
      <c r="B4" s="3" t="s">
        <v>272</v>
      </c>
      <c r="C4" s="2" t="s">
        <v>277</v>
      </c>
    </row>
    <row r="5" spans="1:3" x14ac:dyDescent="0.25">
      <c r="A5" s="2" t="s">
        <v>278</v>
      </c>
      <c r="B5" s="3" t="s">
        <v>279</v>
      </c>
      <c r="C5" s="2" t="s">
        <v>280</v>
      </c>
    </row>
    <row r="6" spans="1:3" x14ac:dyDescent="0.25">
      <c r="A6" s="2" t="s">
        <v>281</v>
      </c>
      <c r="B6" s="3" t="s">
        <v>279</v>
      </c>
      <c r="C6" s="2" t="s">
        <v>141</v>
      </c>
    </row>
    <row r="7" spans="1:3" x14ac:dyDescent="0.25">
      <c r="A7" s="2" t="s">
        <v>282</v>
      </c>
      <c r="B7" s="3" t="s">
        <v>279</v>
      </c>
      <c r="C7" s="2" t="s">
        <v>283</v>
      </c>
    </row>
    <row r="8" spans="1:3" x14ac:dyDescent="0.25">
      <c r="A8" s="2" t="s">
        <v>284</v>
      </c>
      <c r="B8" s="3" t="s">
        <v>272</v>
      </c>
      <c r="C8" s="2" t="s">
        <v>285</v>
      </c>
    </row>
    <row r="9" spans="1:3" x14ac:dyDescent="0.25">
      <c r="A9" s="2" t="s">
        <v>286</v>
      </c>
      <c r="B9" s="3" t="s">
        <v>272</v>
      </c>
      <c r="C9" s="2" t="s">
        <v>287</v>
      </c>
    </row>
    <row r="10" spans="1:3" x14ac:dyDescent="0.25">
      <c r="A10" s="2" t="s">
        <v>288</v>
      </c>
      <c r="B10" s="3" t="s">
        <v>272</v>
      </c>
      <c r="C10" s="2" t="s">
        <v>289</v>
      </c>
    </row>
    <row r="11" spans="1:3" x14ac:dyDescent="0.25">
      <c r="A11" s="2" t="s">
        <v>290</v>
      </c>
      <c r="B11" s="3" t="s">
        <v>291</v>
      </c>
      <c r="C11" s="2" t="s">
        <v>292</v>
      </c>
    </row>
    <row r="12" spans="1:3" x14ac:dyDescent="0.25">
      <c r="A12" s="2" t="s">
        <v>293</v>
      </c>
      <c r="B12" s="3" t="s">
        <v>272</v>
      </c>
      <c r="C12" s="2" t="s">
        <v>294</v>
      </c>
    </row>
    <row r="13" spans="1:3" x14ac:dyDescent="0.25">
      <c r="A13" s="2" t="s">
        <v>295</v>
      </c>
      <c r="B13" s="3" t="s">
        <v>272</v>
      </c>
      <c r="C13" s="2" t="s">
        <v>296</v>
      </c>
    </row>
    <row r="14" spans="1:3" x14ac:dyDescent="0.25">
      <c r="A14" s="2" t="s">
        <v>297</v>
      </c>
      <c r="B14" s="3" t="s">
        <v>272</v>
      </c>
      <c r="C14" s="2" t="s">
        <v>298</v>
      </c>
    </row>
    <row r="15" spans="1:3" x14ac:dyDescent="0.25">
      <c r="A15" s="2" t="s">
        <v>299</v>
      </c>
      <c r="B15" s="3" t="s">
        <v>272</v>
      </c>
      <c r="C15" s="2" t="s">
        <v>300</v>
      </c>
    </row>
    <row r="16" spans="1:3" x14ac:dyDescent="0.25">
      <c r="A16" s="2" t="s">
        <v>301</v>
      </c>
      <c r="B16" s="3" t="s">
        <v>272</v>
      </c>
      <c r="C16" s="2" t="s">
        <v>302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303</v>
      </c>
      <c r="B1" s="1" t="s">
        <v>304</v>
      </c>
      <c r="C1" s="1" t="s">
        <v>305</v>
      </c>
    </row>
    <row r="2" spans="1:3" x14ac:dyDescent="0.25">
      <c r="A2" s="2" t="s">
        <v>306</v>
      </c>
      <c r="B2" s="2" t="s">
        <v>307</v>
      </c>
      <c r="C2" s="5" t="s">
        <v>308</v>
      </c>
    </row>
    <row r="3" spans="1:3" x14ac:dyDescent="0.25">
      <c r="A3" s="2" t="s">
        <v>309</v>
      </c>
      <c r="B3" s="2" t="s">
        <v>310</v>
      </c>
      <c r="C3" s="5" t="s">
        <v>311</v>
      </c>
    </row>
    <row r="4" spans="1:3" x14ac:dyDescent="0.25">
      <c r="A4" s="2" t="s">
        <v>312</v>
      </c>
      <c r="B4" s="2" t="s">
        <v>313</v>
      </c>
      <c r="C4" s="5" t="s">
        <v>314</v>
      </c>
    </row>
    <row r="5" spans="1:3" x14ac:dyDescent="0.25">
      <c r="A5" s="2" t="s">
        <v>315</v>
      </c>
      <c r="B5" s="2" t="s">
        <v>316</v>
      </c>
      <c r="C5" s="5" t="s">
        <v>317</v>
      </c>
    </row>
    <row r="6" spans="1:3" x14ac:dyDescent="0.25">
      <c r="A6" s="2" t="s">
        <v>318</v>
      </c>
      <c r="B6" s="2" t="s">
        <v>319</v>
      </c>
      <c r="C6" s="5" t="s">
        <v>320</v>
      </c>
    </row>
    <row r="7" spans="1:3" x14ac:dyDescent="0.25">
      <c r="A7" s="2" t="s">
        <v>321</v>
      </c>
      <c r="B7" s="2" t="s">
        <v>141</v>
      </c>
      <c r="C7" s="5" t="s">
        <v>322</v>
      </c>
    </row>
    <row r="8" spans="1:3" x14ac:dyDescent="0.25">
      <c r="A8" s="2" t="s">
        <v>323</v>
      </c>
      <c r="B8" s="2" t="s">
        <v>324</v>
      </c>
      <c r="C8" s="5" t="s">
        <v>325</v>
      </c>
    </row>
    <row r="9" spans="1:3" x14ac:dyDescent="0.25">
      <c r="A9" s="2" t="s">
        <v>326</v>
      </c>
      <c r="B9" s="2" t="s">
        <v>136</v>
      </c>
      <c r="C9" s="5" t="s">
        <v>327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2026-10-24T08:49:57Z</dcterms:created>
  <dcterms:modified xsi:type="dcterms:W3CDTF">2026-10-24T08:49:57Z</dcterms:modified>
</cp:coreProperties>
</file>